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songchaoqing\Desktop\plant_water_stress\"/>
    </mc:Choice>
  </mc:AlternateContent>
  <xr:revisionPtr revIDLastSave="0" documentId="13_ncr:1_{03D65983-E927-44E5-A921-D1B650D5181E}" xr6:coauthVersionLast="36" xr6:coauthVersionMax="36" xr10:uidLastSave="{00000000-0000-0000-0000-000000000000}"/>
  <bookViews>
    <workbookView xWindow="0" yWindow="0" windowWidth="23040" windowHeight="9012" activeTab="1" xr2:uid="{00000000-000D-0000-FFFF-FFFF00000000}"/>
  </bookViews>
  <sheets>
    <sheet name="Sheet1" sheetId="1" r:id="rId1"/>
    <sheet name="Sheet2" sheetId="2" r:id="rId2"/>
  </sheets>
  <definedNames>
    <definedName name="_xlnm._FilterDatabase" localSheetId="0" hidden="1">Sheet1!$AA$1:$AA$105</definedName>
  </definedNames>
  <calcPr calcId="191029"/>
</workbook>
</file>

<file path=xl/calcChain.xml><?xml version="1.0" encoding="utf-8"?>
<calcChain xmlns="http://schemas.openxmlformats.org/spreadsheetml/2006/main">
  <c r="AJ61" i="1" l="1"/>
  <c r="AJ65" i="1"/>
  <c r="AJ91" i="1"/>
  <c r="AJ84" i="1"/>
  <c r="AJ88" i="1"/>
</calcChain>
</file>

<file path=xl/sharedStrings.xml><?xml version="1.0" encoding="utf-8"?>
<sst xmlns="http://schemas.openxmlformats.org/spreadsheetml/2006/main" count="1042" uniqueCount="378">
  <si>
    <t>site</t>
  </si>
  <si>
    <t>site_lat</t>
  </si>
  <si>
    <t>site_long</t>
  </si>
  <si>
    <t>species</t>
  </si>
  <si>
    <t>Latin</t>
  </si>
  <si>
    <t>swc_thr</t>
  </si>
  <si>
    <t>b1</t>
  </si>
  <si>
    <t>c1</t>
  </si>
  <si>
    <t>spe_ntrees</t>
  </si>
  <si>
    <t>spe_perc</t>
  </si>
  <si>
    <t>stand_basal_area</t>
  </si>
  <si>
    <t>site_elev</t>
  </si>
  <si>
    <t>site_mat</t>
  </si>
  <si>
    <t>site_map</t>
  </si>
  <si>
    <t>site_igbp</t>
  </si>
  <si>
    <t>site_biome</t>
  </si>
  <si>
    <t>stand_age</t>
  </si>
  <si>
    <t>stand_height</t>
  </si>
  <si>
    <t>stand_density</t>
  </si>
  <si>
    <t>stand_lai</t>
  </si>
  <si>
    <t>stand_sand_perc</t>
  </si>
  <si>
    <t>stand_clay_perc</t>
  </si>
  <si>
    <t>stand_silt_perc</t>
  </si>
  <si>
    <t>stand_soil_texture</t>
  </si>
  <si>
    <t>env_swc_shallow_depth</t>
  </si>
  <si>
    <t>pl_median_dbh</t>
  </si>
  <si>
    <t>pl_median_sapwarea</t>
  </si>
  <si>
    <t>lat_Ref</t>
  </si>
  <si>
    <t>lon_Ref</t>
  </si>
  <si>
    <t>Reference</t>
  </si>
  <si>
    <t>ta_gd</t>
  </si>
  <si>
    <t>vpd_gd</t>
  </si>
  <si>
    <t>precip_gd</t>
  </si>
  <si>
    <t>precip1_gd</t>
  </si>
  <si>
    <t>sw_in_gd</t>
  </si>
  <si>
    <t>netrad_gd</t>
  </si>
  <si>
    <t>ws_gd</t>
  </si>
  <si>
    <t>swc_shal_gd</t>
  </si>
  <si>
    <t>ta_od</t>
  </si>
  <si>
    <t>vpd_od</t>
  </si>
  <si>
    <t>precip_od</t>
  </si>
  <si>
    <t>precip1_od</t>
  </si>
  <si>
    <t>sw_in_od</t>
  </si>
  <si>
    <t>netrad_od</t>
  </si>
  <si>
    <t>ws_od</t>
  </si>
  <si>
    <t>swc_shal_od</t>
  </si>
  <si>
    <t>CAN_TUR_P39_PRE</t>
  </si>
  <si>
    <t>Pst</t>
  </si>
  <si>
    <t>Pinus strobus</t>
  </si>
  <si>
    <t>stand</t>
  </si>
  <si>
    <t>ENF</t>
  </si>
  <si>
    <t>Temperate forest</t>
  </si>
  <si>
    <t>SAND</t>
  </si>
  <si>
    <t>sand</t>
  </si>
  <si>
    <t>Asbjornsen, H. et al. (2021). Sensitivity and threshold dynamics of Pinus strobus and Quercus spp. in response to experimental and naturally occurring severe droughts. Tree Physiology 41, 1819鈥?835; Wubbels JK (2010) Tree species distribution in relation to stem hydraulic traits and soil moisture in a mixed hardwood forest in central Pennsylvania. MSc Thesis, The Pennsylvania State University State College, PA; Ameztegui, A., Paquette, A., Shipley, B., Heym, M., Messier, C., &amp; Gravel, D. (2017). Shade tolerance and the functional trait: demography relationship in temperate and boreal forests. Functional Ecology, 31(4), 821-830</t>
  </si>
  <si>
    <t>CAN_TUR_P74</t>
  </si>
  <si>
    <t>CZE_LAN</t>
  </si>
  <si>
    <t>Qro</t>
  </si>
  <si>
    <t>Quercus robur</t>
  </si>
  <si>
    <t>MF</t>
  </si>
  <si>
    <t>Woodland/Shrubland</t>
  </si>
  <si>
    <t>LOAM</t>
  </si>
  <si>
    <t>sandy loam</t>
  </si>
  <si>
    <t>Urli, M. et al. (2013). Xylem embolism threshold for catastrophic hydraulic failure in angiosperm trees. Tree Physiology, 33(7), 672-683;  Ameztegui, A. et al. (2017). Shade tolerance and the functional trait: demography relationship in temperate and boreal forests. Functional Ecology 31, 821鈥?30; Liu, H. et al. (2019). Hydraulic traits are coordinated with maximum plant height at the global scale. Science Advances, 5, eaav1332; Flo, V. et al. (2021). Climate and functional traits jointly mediate tree water-use strategies. New Phytologist 231, 617鈥?30; Nola, P. et al. (2020). Xylem anatomy of Robinia pseudoacacia L. and Quercus robur L. is differently affected by climate in a temperate alluvial forest. Annals of Forest Science 77, 8.</t>
  </si>
  <si>
    <t>CZE_LIZ_LES</t>
  </si>
  <si>
    <t>Pab</t>
  </si>
  <si>
    <t>Picea abies</t>
  </si>
  <si>
    <t>Tomasella, M. et al. (2017). Acclimation of branch and leaf hydraulics in adult Fagus sylvatica and Picea abies in a forest through-fall exclusion experiment. Tree Physiology 38, 198鈥?11; Liu, H. et al. (2019). Hydraulic traits are coordinated with maximum plant height at the global scale. Science Advances, 5, eaav1332</t>
  </si>
  <si>
    <t>CZE_STI</t>
  </si>
  <si>
    <t>Fsy</t>
  </si>
  <si>
    <t>Fagus sylvatica</t>
  </si>
  <si>
    <t>DBF</t>
  </si>
  <si>
    <t>sandy clay loam</t>
  </si>
  <si>
    <t>Tomasella, M. et al. (2017). Acclimation of branch and leaf hydraulics in adult Fagus sylvatica and Picea abies in a forest through-fall exclusion experiment. Tree Physiology 38, 198鈥?11; Ameztegui, A. et al. (2017). Shade tolerance and the functional trait: demography relationship in temperate and boreal forests. Functional Ecology, 31(4), 821-830; Liu, H. et al. (2019). Hydraulic traits are coordinated with maximum plant height at the global scale. Science Advances, 5, eaav1332; Kocher, P. et al. (2009). Leaf water status and stem xylem flux in relation to soil drought in five temperate broad-leaved tree species with contrasting water use strategies. Annual Forest Science 66, 101.</t>
  </si>
  <si>
    <t>DEU_STE_4P5</t>
  </si>
  <si>
    <t>L眉bbe, T. et al. (2021). High variation in hydraulic efficiency but not xylem safety between roots and branches in four temperate broad-leaved tree species. Functional Ecology 36, 699鈥?12; Kocher, P. et al. (2009). Leaf water status and stem xylem flux in relation to soil drought in five temperate broad-leaved tree species with contrasting water use strategies. Annual Forest Science 66, 101.</t>
  </si>
  <si>
    <t>ESP_ALT_ARM</t>
  </si>
  <si>
    <t>Pni</t>
  </si>
  <si>
    <t>Pinus nigra</t>
  </si>
  <si>
    <t>CLAY</t>
  </si>
  <si>
    <t>clay</t>
  </si>
  <si>
    <t>Catalonia (northeastern Spain)</t>
  </si>
  <si>
    <t>Rosas, T. et al. (2019). Adjustments and coordination of hydraulic, leaf and stem traits along a water availability gradient. New Phytologist  223: 632鈥?46; Liu, H. et al. (2019). Hydraulic traits are coordinated with maximum plant height at the global scale. Science Advances, 5, eaav1332</t>
  </si>
  <si>
    <t>Qfa</t>
  </si>
  <si>
    <t>Quercus faginea</t>
  </si>
  <si>
    <t>no</t>
  </si>
  <si>
    <t>Flo, V. et al. (2021). Climate and functional traits jointly mediate tree water-use strategies. New Phytologist 231, 617鈥?30; Sousa, V. B. et al. (2016). Age trends and within-site effects in wood density and radial growth in Quercus faginea mature trees. Forest Systems, 25(1), e053, 9</t>
  </si>
  <si>
    <t>Qil</t>
  </si>
  <si>
    <t>Quercus ilex</t>
  </si>
  <si>
    <t>ESP_CAN</t>
  </si>
  <si>
    <t>Aun</t>
  </si>
  <si>
    <t>Arbutus unedo</t>
  </si>
  <si>
    <t>EBF</t>
  </si>
  <si>
    <t>loam</t>
  </si>
  <si>
    <t>Mart铆nez-Vilalta, J. et al. (2002). Xylem hydraulic properties of roots and stems of nine Mediterranean woody species. Oecologia 133:19鈥?9; Liu, H. et al. (2019). Hydraulic traits are coordinated with maximum plant height at the global scale. Science Advances, 5, eaav1332</t>
  </si>
  <si>
    <t>Mart铆nez-Vilalta, J. et al. (2002). Xylem hydraulic properties of roots and stems of nine Mediterranean woody species. Oecologia 133:19鈥?9; Liu, H. et al. (2019). Hydraulic traits are coordinated with maximum plant height at the global scale. Science Advances, 5, eaav1332; Rosas, T. et al. (2019). Adjustments and coordination of hydraulic, leaf and stem traits along a water availability gradient. New Phytologist  223: 632鈥?46</t>
  </si>
  <si>
    <t>ESP_TIL_MIX</t>
  </si>
  <si>
    <t>Psy</t>
  </si>
  <si>
    <t>Pinus sylvestris</t>
  </si>
  <si>
    <t>Mart铆nez-Vilalta, J. et al. (2009). Hydraulic adjustment of Scots pine across Europe. New Phytologist, 184, 353鈥?64.</t>
  </si>
  <si>
    <t>ESP_TIL_OAK</t>
  </si>
  <si>
    <t>ESP_TIL_PIN</t>
  </si>
  <si>
    <t>ESP_VAL_SOR</t>
  </si>
  <si>
    <t>FRA_PUE</t>
  </si>
  <si>
    <t>clay loam</t>
  </si>
  <si>
    <t>Limousin, J. et al. (2010). Change in hydraulic traits of Mediterranean Quercus ilex subjected to long-term throughfall exclusion. Tree Physiology 30, 1026鈥?036; Liu, H. et al. (2019). Hydraulic traits are coordinated with maximum plant height at the global scale. Science Advances, 5, eaav1332</t>
  </si>
  <si>
    <t>GBR_ABE_PLO</t>
  </si>
  <si>
    <t>Psi</t>
  </si>
  <si>
    <t>GBR_GUI_ST1</t>
  </si>
  <si>
    <t>GUF_GUY_GUY</t>
  </si>
  <si>
    <t>Lme</t>
  </si>
  <si>
    <t>Licania membranacea</t>
  </si>
  <si>
    <t>Tropical rain forest</t>
  </si>
  <si>
    <t>sandy clay</t>
  </si>
  <si>
    <t>Ziegler, C. et al. (2019). Large hydraulic safety margins protect Neotropical canopy rainforest tree species against hydraulic failure during drought. Annals of Forest Science 76: 115; Modelling the role of lianas in the water cycle of tropical forest ecosystems</t>
  </si>
  <si>
    <t>GUF_GUY_ST2</t>
  </si>
  <si>
    <t>Oas</t>
  </si>
  <si>
    <t>Oxandra asbeckii</t>
  </si>
  <si>
    <t>mean</t>
  </si>
  <si>
    <t>Modelling the role of lianas in the water cycle of tropical forest ecosystems</t>
  </si>
  <si>
    <t>Vsp</t>
  </si>
  <si>
    <t>Vantanea sp</t>
  </si>
  <si>
    <t>IDN_PON_STE</t>
  </si>
  <si>
    <t>Cla</t>
  </si>
  <si>
    <t>Tropical forest savanna</t>
  </si>
  <si>
    <t>Msp</t>
  </si>
  <si>
    <t>Myrtaceae sp.</t>
  </si>
  <si>
    <t>Zach, A. et al. (2010). The hydraulic performance of tropical rainforest trees in their perhumid environment - is there evidence for drought vulnerability? Environmental Science and Engineering, 391鈥?10.</t>
  </si>
  <si>
    <t>Pex</t>
  </si>
  <si>
    <t>Platea excelsa</t>
  </si>
  <si>
    <t>Plu</t>
  </si>
  <si>
    <t>Palaquium luzoniense</t>
  </si>
  <si>
    <t>Appendix 1 - List of wood densities for tree species from tropical America, Africa, and Asia. (fao.org) https://www.fao.org/3/W4095E/w4095e0c.htm</t>
  </si>
  <si>
    <t>ITA_KAE_S20</t>
  </si>
  <si>
    <t>Lde</t>
  </si>
  <si>
    <t>Larix decidua</t>
  </si>
  <si>
    <t>DNF</t>
  </si>
  <si>
    <t>Boreal forest</t>
  </si>
  <si>
    <t>Mayr S, Hacke U, Schmid P, Schwienbacher F, Gruber A  2006. Frost drought in conifers at the alpine timberline: xylem dysfunction and adaptations. Ecology 87: 3175-3185; Flo, V. et al. (2021). Climate and functional traits jointly mediate tree water-use strategies. New Phytologist 231, 617鈥?30</t>
  </si>
  <si>
    <t>ITA_MAT_S21</t>
  </si>
  <si>
    <t>Mayr S, Hacke U, Schmid P, Schwienbacher F, Gruber A  2006. Frost drought in conifers at the alpine timberline: xylem dysfunction and adaptations. Ecology 87: 3175-3185; Flo, V. et al. (2021). Climate and functional traits jointly mediate tree water-use strategies. New Phytologist 231, 617鈥?30; Liu, H. et al. (2019). Hydraulic traits are coordinated with maximum plant height at the global scale. Science Advances, 5, eaav1333</t>
  </si>
  <si>
    <t>Pce</t>
  </si>
  <si>
    <t>Pinus cembra</t>
  </si>
  <si>
    <t>Mayr S, Hacke U, Schmid P, Schwienbacher F, Gruber A  2006. Frost drought in conifers at the alpine timberline: xylem dysfunction and adaptations. Ecology 87: 3175-3185; Liu, H. et al. (2019). Hydraulic traits are coordinated with maximum plant height at the global scale. Science Advances, 5, eaav1333</t>
  </si>
  <si>
    <t>ITA_MUN</t>
  </si>
  <si>
    <t>Mayr S, Hacke U, Schmid P, Schwienbacher F, Gruber A  2006. Frost drought in conifers at the alpine timberline: xylem dysfunction and adaptations. Ecology 87: 3175-3185; Flo, V. et al. (2021). Climate and functional traits jointly mediate tree water-use strategies. New Phytologist 231, 617鈥?30; Liu, H. et al. (2019). Hydraulic traits are coordinated with maximum plant height at the global scale. Science Advances, 5, eaav1332</t>
  </si>
  <si>
    <t>ITA_TOR</t>
  </si>
  <si>
    <t>loamy sand</t>
  </si>
  <si>
    <t>RUS_POG_VAR</t>
  </si>
  <si>
    <t>Lgm</t>
  </si>
  <si>
    <t>Larix gmelinii</t>
  </si>
  <si>
    <t>Jin, Y. et al. (2020). Contrasting responses of hydraulic traits between leaf and branch to 16-year nitrogen addition in a larch plantation. Forest Ecology and Management 475, 118461</t>
  </si>
  <si>
    <t>Lsi</t>
  </si>
  <si>
    <t>Larix sibirica Ledeb.</t>
  </si>
  <si>
    <t>Dulamsuren, C. et al. (2018). Hydraulic architecture and vulnerability to drought-induced embolism in southern boreal tree species of Inner Asia. Tree Physiology 39, 463鈥?73.</t>
  </si>
  <si>
    <t>Pinus sibirica</t>
  </si>
  <si>
    <t>SWE_NOR_ST3</t>
  </si>
  <si>
    <t>Mayr S, Hacke U, Schmid P, Schwienbacher F, Gruber A  2006. Frost drought in conifers at the alpine timberline: xylem dysfunction and adaptations. Ecology 87: 3175-3185; Liu, H. et al. (2019). Hydraulic traits are coordinated with maximum plant height at the global scale. Science Advances, 5, eaav1332</t>
  </si>
  <si>
    <t>SWE_NOR_ST4_AFT</t>
  </si>
  <si>
    <t>SWE_NOR_ST5_REF</t>
  </si>
  <si>
    <t>USA_DUK_HAR</t>
  </si>
  <si>
    <t>Cto</t>
  </si>
  <si>
    <t>Carya tomentosa</t>
  </si>
  <si>
    <t>Qal</t>
  </si>
  <si>
    <t>Quercus alba</t>
  </si>
  <si>
    <t>Qph</t>
  </si>
  <si>
    <t>Quercus phellos</t>
  </si>
  <si>
    <t>Maherali H, Moura CF, Caldeira MC, Willson CJ, Jackson RB.  2006.  Functional coordination between leaf gas exchange and vulnerability to xylem cavitation in temperate forest trees.  Plant, Cell and Environment 29: 571-583; Liu, H. et al. (2019). Hydraulic traits are coordinated with maximum plant height at the global scale. Science Advances, 5, eaav1332</t>
  </si>
  <si>
    <t>USA_HIL_HF1_POS</t>
  </si>
  <si>
    <t>Ltu</t>
  </si>
  <si>
    <t>Liriodendron tulipifera</t>
  </si>
  <si>
    <t>USA_HIL_HF2</t>
  </si>
  <si>
    <t>Lst</t>
  </si>
  <si>
    <t>Liquidambar styraciflua</t>
  </si>
  <si>
    <t>USA_HUY_LIN_NON</t>
  </si>
  <si>
    <t>Pgl</t>
  </si>
  <si>
    <t>Picea glauca</t>
  </si>
  <si>
    <t>Understanding i-Tree - Appendix 11: Wood Density Values (usda.gov); Zach, A. et al. (2010). The hydraulic performance of tropical rainforest trees in their perhumid environment - is there evidence for drought vulnerability? Environmental Science and Engineering, 391鈥?10; Urli, M. et al. (2023). Experimental drier climates affect hydraulics and induce high mortality of seedlings of three northern conifer species. Forest Ecology and Management 544 (2023) 121127.</t>
  </si>
  <si>
    <t>USA_INM</t>
  </si>
  <si>
    <t>40.79/38.88</t>
  </si>
  <si>
    <t>Liu, H. et al. (2019). Hydraulic traits are coordinated with maximum plant height at the global scale. Science Advances, 5, eaav1332; McGregor, I. et al. (2021).  Tree height and leaf drought tolerance traits shape growth responses across droughts in a temperate broadleaf forest. New Phytologist 231: 601鈥?16.</t>
  </si>
  <si>
    <t>Sal</t>
  </si>
  <si>
    <t>Sassafras albidum</t>
  </si>
  <si>
    <t>Kannenberg, S. et al. (2019). Anisohydric behavior linked to persistent hydraulic damage and delayed drought recovery across seven North American tree species. New Phytologist 222: 1862鈥?872; Understanding i-Tree - Appendix 11: Wood Density Values (usda.gov); Jaquish, L. and Ewers, F. (2001). Seasonal conductivity and embolism in the roots and stems of two clonal ring-porous trees, Sassafras albidum (Lauraceae) and Rhus typhina (Anacardiaceae). American Journal of Botany 88, 206鈥?12.</t>
  </si>
  <si>
    <t>Uam</t>
  </si>
  <si>
    <t>USA_MOR_SF</t>
  </si>
  <si>
    <t>silty clay loam</t>
  </si>
  <si>
    <t>USA_PAR_FER</t>
  </si>
  <si>
    <t>Pta</t>
  </si>
  <si>
    <t>Pinus taeda</t>
  </si>
  <si>
    <t>Maherali H, Moura CF, Caldeira MC, Willson CJ, Jackson RB.  2006.  Functional coordination between leaf gas exchange and vulnerability to xylem cavitation in temperate forest trees.  Plant, Cell and Environment 29: 571-584; Liu, H. et al. (2019). Hydraulic traits are coordinated with maximum plant height at the global scale. Science Advances, 5, eaav1332</t>
  </si>
  <si>
    <t>USA_PJS_P04_AMB</t>
  </si>
  <si>
    <t>Ped</t>
  </si>
  <si>
    <t>Pinus edulis</t>
  </si>
  <si>
    <t>WSA</t>
  </si>
  <si>
    <t>Temperate grassland desert</t>
  </si>
  <si>
    <t>Linton MJ, Sperry JS, Williams DG. 2002. Limits to water transport in Juniperus osteosperma and Pinus edulis: implications for drought tolerance and regulation of transpiration. Functional Ecology 12: 906-911; Liu, H. et al. (2019). Hydraulic traits are coordinated with maximum plant height at the global scale. Science Advances, 5, eaav1332</t>
  </si>
  <si>
    <t>USA_PJS_P08_AMB</t>
  </si>
  <si>
    <t>USA_PJS_P12_AMB</t>
  </si>
  <si>
    <t>USA_SIL_OAK_2PR</t>
  </si>
  <si>
    <t>Qco</t>
  </si>
  <si>
    <t>Quercus coccinea</t>
  </si>
  <si>
    <t xml:space="preserve">Robert, E.M.R. et al. (2017). The Anatomy and Functioning of the Xylem in Oaks. </t>
  </si>
  <si>
    <t>Qmo</t>
  </si>
  <si>
    <t>Quercus montana</t>
  </si>
  <si>
    <t>McGregor, I. et al. (2021).  Tree height and leaf drought tolerance traits shape growth responses across droughts in a temperate broadleaf forest. New Phytologist 231: 601鈥?16.</t>
  </si>
  <si>
    <t>Qve</t>
  </si>
  <si>
    <t>Quercus velutina</t>
  </si>
  <si>
    <t>USA_SYL_HL2</t>
  </si>
  <si>
    <t>Asa</t>
  </si>
  <si>
    <t>Acer saccharum</t>
  </si>
  <si>
    <t>Ameztegui, A., Paquette, A., Shipley, B., Heym, M., Messier, C., &amp; Gravel, D. (2017). Shade tolerance and the functional trait: demography relationship in temperate and boreal forests. Functional Ecology, 31(4), 821-830; Liu, H. et al. (2019). Hydraulic traits are coordinated with maximum plant height at the global scale. Science Advances, 5, eaav1332; Flo, V. et al. (2021). Climate and functional traits jointly mediate tree water-use strategies. New Phytologist 231, 617鈥?30</t>
  </si>
  <si>
    <t>Tca</t>
  </si>
  <si>
    <t>Tsuga canadensis</t>
  </si>
  <si>
    <t>Tyree MT, Dixon MA. 1986. Water stress induced cavitation and embolism in some woody plants. Physiologia Plantarum 66: 397-405; Liu, H. et al. (2019). Hydraulic traits are coordinated with maximum plant height at the global scale. Science Advances, 5, eaav1332; Flo, V. et al. (2021). Climate and functional traits jointly mediate tree water-use strategies. New Phytologist 231, 617鈥?30; Understanding i-Tree - Appendix 11: Wood Density Values (usda.gov)</t>
  </si>
  <si>
    <t>USA_TNB</t>
  </si>
  <si>
    <t>McGregor, I. et al. (2021).  Tree height and leaf drought tolerance traits shape growth responses across droughts in a temperate broadleaf forest. New Phytologist 231: 601鈥?16; Kannenberg, S. et al. (2019). Anisohydric behavior linked to persistent hydraulic damage and delayed drought recovery across seven North American tree species. New Phytologist 222: 1862-1887.</t>
  </si>
  <si>
    <t>USA_TNO</t>
  </si>
  <si>
    <t>Aru</t>
  </si>
  <si>
    <t>Acer rubrum</t>
  </si>
  <si>
    <t>USA_TNP</t>
  </si>
  <si>
    <t>Tomasella, M. et al. (2017). Acclimation of branch and leaf hydraulics in adult Fagus sylvatica and Picea abies in a forest through-fall exclusion experiment. Tree Physiology 38, 198鈥?11; Ameztegui, A. et al. (2017). Shade tolerance and the functional trait: demography relationship in temperate and boreal forests. Functional Ecology, 31(4), 821-830; Liu, H. et al. (2019). Hydraulic traits are coordinated with maximum plant height at the global scale. Science Advances, 5, eaav1332</t>
  </si>
  <si>
    <t>Liu, H. et al. (2019). Hydraulic traits are coordinated with maximum plant height at the global scale. Science Advances, 5, eaav1332</t>
  </si>
  <si>
    <t>USA_TNY</t>
  </si>
  <si>
    <t>Pse</t>
  </si>
  <si>
    <t>Prunus serotina</t>
  </si>
  <si>
    <t>Flo, V. et al. (2021). Climate and functional traits jointly mediate tree water-use strategies. New Phytologist 231, 617鈥?30; Liu, H. et al. (2019). Hydraulic traits are coordinated with maximum plant height at the global scale. Science Advances, 5, eaav1332; Ameztegui, A., Paquette, A., Shipley, B., Heym, M., Messier, C., &amp; Gravel, D. (2017). Shade tolerance and the functional trait: demography relationship in temperate and boreal forests. Functional Ecology, 31(4), 821-830</t>
  </si>
  <si>
    <t>USA_UMB_CON</t>
  </si>
  <si>
    <t>Pgr</t>
  </si>
  <si>
    <t>Populus grandidentata</t>
  </si>
  <si>
    <t>Lu, Y., Sloan, B., Thompson, S. E., Konings, A. G., Bohrer, G., Matheny, A., &amp; Feng, X. (2022). Intra-specific variability in plant hydraulic parameters inferred from model inversion of sap flux data. Journal of Geophysical Research: Biogeosciences, 127, e2021JG006777.</t>
  </si>
  <si>
    <t>USA_UMB_GIR</t>
  </si>
  <si>
    <t>Liu, H. et al. (2019). Hydraulic traits are coordinated with maximum plant height at the global scale. Science Advances, 5, eaav1332; Lu, Y., Sloan, B., Thompson, S. E., Konings, A. G., Bohrer, G., Matheny, A., &amp; Feng, X. (2022). Intra-specific variability in plant hydraulic parameters inferred from model inversion of sap flux data. Journal of Geophysical Research: Biogeosciences, 127, e2021JG006777.</t>
  </si>
  <si>
    <t>Fgr</t>
  </si>
  <si>
    <t>Fagus grandifolia</t>
  </si>
  <si>
    <t>Harvard Forest</t>
  </si>
  <si>
    <t>McGregor, I. et al. (2021).  Tree height and leaf drought tolerance traits shape growth responses across droughts in a temperate broadleaf forest. New Phytologist 231: 601鈥?16; Wason, J. et al. (2018). Hydraulic safety margins and air-seeding thresholds in roots, trunks, branches and petioles of four northern hardwood trees. New Phytologist 219: 77鈥?8; Ameztegui, A., Paquette, A., Shipley, B., Heym, M., Messier, C., &amp; Gravel, D. (2017). Shade tolerance and the functional trait: demography relationship in temperate and boreal forests. Functional Ecology, 31(4), 821-830; Wason, W. et al. (2018). Hydraulic safety margins and air-seeding thresholds in roots, trunks, branches and petioles of four northern hardwood trees. New Phytologist, 219: 77鈥?8</t>
  </si>
  <si>
    <t>Qru</t>
  </si>
  <si>
    <t>Quercus rubra</t>
  </si>
  <si>
    <t>Maherali H, Moura CF, Caldeira MC, Willson CJ, Jackson RB.  2006.  Functional coordination between leaf gas exchange and vulnerability to xylem cavitation in temperate forest trees.  Plant, Cell and Environment 29: 571-583.</t>
  </si>
  <si>
    <t>USA_WIL_WC1</t>
  </si>
  <si>
    <t>Fpe</t>
  </si>
  <si>
    <t>Fraxinus pennsylvanica</t>
  </si>
  <si>
    <t>Flo, V. et al. (2021). Climate and functional traits jointly mediate tree water-use strategies. New Phytologist 231, 617鈥?30; Liu, H. et al. (2019). Hydraulic traits are coordinated with maximum plant height at the global scale. Science Advances, 5, eaav1332; Understanding i-Tree - Appendix 11: Wood Density Values (usda.gov)</t>
  </si>
  <si>
    <t>Tam</t>
  </si>
  <si>
    <t>USA_WVF</t>
  </si>
  <si>
    <t>Mdo</t>
  </si>
  <si>
    <t>CAN_TUR_P39_POS</t>
  </si>
  <si>
    <t>Cbe</t>
  </si>
  <si>
    <t>Carpinus betulus</t>
  </si>
  <si>
    <t>L眉bbe, T. et al. (2021). High variation in hydraulic efficiency but not xylem safety between roots and branches in four temperate broad-leaved tree species. Functional Ecology 36, 699鈥?12</t>
  </si>
  <si>
    <t>Pha</t>
  </si>
  <si>
    <t>Pinus halepensis</t>
  </si>
  <si>
    <t>Oliveras, I. et al. (2003). Hydraulic properties of Pinus halepensis, Pinus pinea and Tetraclinis articulata in a dune ecosystem of Eastern Spain. Plant Ecology 169: 131鈥?41; Liu, H. et al. (2019). Hydraulic traits are coordinated with maximum plant height at the global scale. Science Advances, 5, eaav1332</t>
  </si>
  <si>
    <t>Qpu</t>
  </si>
  <si>
    <t>Quercus pubescens</t>
  </si>
  <si>
    <t>Ggl</t>
  </si>
  <si>
    <t>Goupia glabra</t>
  </si>
  <si>
    <t>Ziegler, C. et al. (2019). Large hydraulic safety margins protect Neotropical canopy rainforest tree species against hydraulic failure during drought. Annals of Forest Science 76: 117; Modelling the role of lianas in the water cycle of tropical forest ecosystems</t>
  </si>
  <si>
    <t>Ssp</t>
  </si>
  <si>
    <t>Sloanea sp</t>
  </si>
  <si>
    <t>ITA_FEI_S17</t>
  </si>
  <si>
    <t>NZL_HUA_HUA</t>
  </si>
  <si>
    <t>Aau</t>
  </si>
  <si>
    <t>Agathis australis</t>
  </si>
  <si>
    <t>Pittermann J, Sperry JS, Hacke UG, Wheeler JK, Sikkema EL. 2006. Inter-tracheid pitting and the hydraulic efficiency of conifer wood: the role of tracheid allometry and cavitation protection. American Journal of Botany 93: 1265-1273. Pittermann J, Sperry JS, Wheeler JK, Hacke UG, Sikkema E. 2006. Mechanical reinforcement against tracheid implosion compromises the hydraulic efficiency of conifer xylem. Plant, Cell and Environment 29: 1618-1628; Liu, H. et al. (2019). Hydraulic traits are coordinated with maximum plant height at the global scale. Science Advances, 5, eaav1332</t>
  </si>
  <si>
    <t>THA_KHU</t>
  </si>
  <si>
    <t>Hbr</t>
  </si>
  <si>
    <t>Hevea brasiliensis</t>
  </si>
  <si>
    <t>18/13.85</t>
  </si>
  <si>
    <t>103/100.75</t>
  </si>
  <si>
    <t>Rungwattana, K. et al. (2018). Trait evolution in tropical rubber (Hevea brasiliensis) trees is related to dry season intensity. Functional Ecology 32: 2638鈥?651; Liu, H. et al. (2019). Hydraulic traits are coordinated with maximum plant height at the global scale. Science Advances, 5, eaav1332</t>
  </si>
  <si>
    <t>Qmi</t>
  </si>
  <si>
    <t>Quercus michauxii</t>
  </si>
  <si>
    <t xml:space="preserve">Robert, E.M.R. et al. (). The Anatomy and Functioning of the Xylem in Oaks. </t>
  </si>
  <si>
    <t>Jmo</t>
  </si>
  <si>
    <t>Juniperus monosperma</t>
  </si>
  <si>
    <t>Willson CJ, PS Manos, RB Jackson. 2008. Hydraulic traits are influenced by phylogenetic history in the drought-resistant and invasive genus Juniperus (Cupressaceae). American Journal of Botany 95: 299-314; Liu, H. et al. (2019). Hydraulic traits are coordinated with maximum plant height at the global scale. Science Advances, 5, eaav1332</t>
  </si>
  <si>
    <t>USA_SIL_OAK_1PR</t>
  </si>
  <si>
    <t>Pri</t>
  </si>
  <si>
    <t>Pinus rigida</t>
  </si>
  <si>
    <t>Understanding i-Tree - Appendix 11: Wood Density Values (usda.gov)</t>
  </si>
  <si>
    <t>Quercus falcata</t>
  </si>
  <si>
    <t>Cfl</t>
  </si>
  <si>
    <t>Cornus florida</t>
  </si>
  <si>
    <t>Es</t>
    <phoneticPr fontId="18" type="noConversion"/>
  </si>
  <si>
    <t>Martínez-Vilalta, J. et al. (2009). Hydraulic adjustment of Scots pine across Europe. New Phytologist, 184, 353–364.</t>
  </si>
  <si>
    <t>Pinus sylvestris</t>
    <phoneticPr fontId="18" type="noConversion"/>
  </si>
  <si>
    <t>Picea sitchensis</t>
    <phoneticPr fontId="18" type="noConversion"/>
  </si>
  <si>
    <t>Martínez-Vilalta, J. et al. (2009). Hydraulic adjustment of Scots pine across Europe. New Phytologist, 184, 353–364.</t>
    <phoneticPr fontId="18" type="noConversion"/>
  </si>
  <si>
    <t>Cryptocarya laevigata</t>
    <phoneticPr fontId="18" type="noConversion"/>
  </si>
  <si>
    <t>Vernonia arborea</t>
    <phoneticPr fontId="18" type="noConversion"/>
  </si>
  <si>
    <t>Qsp</t>
    <phoneticPr fontId="18" type="noConversion"/>
  </si>
  <si>
    <t>-77.86/78</t>
  </si>
  <si>
    <t>Liu, H. et al. (2019). Hydraulic traits are coordinated with maximum plant height at the global scale. Science Advances, 5, eaav1332; McGregor, I. et al. (2021).  Tree height and leaf drought tolerance traits shape growth responses across droughts in a temperate broadleaf forest. New Phytologist 231: 601–616.</t>
  </si>
  <si>
    <t>McGregor, I. et al. (2021).  Tree height and leaf drought tolerance traits shape growth responses across droughts in a temperate broadleaf forest. New Phytologist 231: 601–616; Kannenberg, S. et al. (2019). Anisohydric behavior linked to persistent hydraulic damage and delayed drought recovery across seven North American tree species. New Phytologist 222: 1862-1887.</t>
  </si>
  <si>
    <t>Quercus spp.</t>
    <phoneticPr fontId="18" type="noConversion"/>
  </si>
  <si>
    <t>Zach, A. et al. (2010). The hydraulic performance of tropical rainforest trees in their perhumid environment - is there evidence for drought vulnerability? Environmental Science and Engineering, 391鈥?10.</t>
    <phoneticPr fontId="18" type="noConversion"/>
  </si>
  <si>
    <t>Var</t>
    <phoneticPr fontId="18" type="noConversion"/>
  </si>
  <si>
    <t>Tilia americana</t>
    <phoneticPr fontId="18" type="noConversion"/>
  </si>
  <si>
    <t>Malus domestica</t>
    <phoneticPr fontId="18" type="noConversion"/>
  </si>
  <si>
    <t>Ulmus americana</t>
    <phoneticPr fontId="18" type="noConversion"/>
  </si>
  <si>
    <t>GBR_DEV_DRO</t>
    <phoneticPr fontId="18" type="noConversion"/>
  </si>
  <si>
    <t>USA_SYL_HL2</t>
    <phoneticPr fontId="18" type="noConversion"/>
  </si>
  <si>
    <t>USA_WIL_WC1</t>
    <phoneticPr fontId="18" type="noConversion"/>
  </si>
  <si>
    <t>ZAF_SOU_SOU</t>
    <phoneticPr fontId="18" type="noConversion"/>
  </si>
  <si>
    <t>WD</t>
    <phoneticPr fontId="18" type="noConversion"/>
  </si>
  <si>
    <t>Ks</t>
    <phoneticPr fontId="18" type="noConversion"/>
  </si>
  <si>
    <t>P50</t>
    <phoneticPr fontId="18" type="noConversion"/>
  </si>
  <si>
    <t>Hmax</t>
    <phoneticPr fontId="18" type="noConversion"/>
  </si>
  <si>
    <t>soil_type</t>
    <phoneticPr fontId="18" type="noConversion"/>
  </si>
  <si>
    <t>stand_USDA_soil_texture</t>
  </si>
  <si>
    <t>no data</t>
  </si>
  <si>
    <t>name</t>
    <phoneticPr fontId="18" type="noConversion"/>
  </si>
  <si>
    <t>description</t>
    <phoneticPr fontId="18" type="noConversion"/>
  </si>
  <si>
    <t>swc_thr</t>
    <phoneticPr fontId="18" type="noConversion"/>
  </si>
  <si>
    <t>critical soil moisture threshold (m3/m3)</t>
    <phoneticPr fontId="18" type="noConversion"/>
  </si>
  <si>
    <t>b1</t>
    <phoneticPr fontId="18" type="noConversion"/>
  </si>
  <si>
    <t>slope at soil moisture below swc_thr</t>
    <phoneticPr fontId="18" type="noConversion"/>
  </si>
  <si>
    <t>c1</t>
    <phoneticPr fontId="18" type="noConversion"/>
  </si>
  <si>
    <t>slope at soil moisture above swc_thr</t>
    <phoneticPr fontId="18" type="noConversion"/>
  </si>
  <si>
    <t>stand_basal_area</t>
    <phoneticPr fontId="18" type="noConversion"/>
  </si>
  <si>
    <t>site_elev</t>
    <phoneticPr fontId="18" type="noConversion"/>
  </si>
  <si>
    <t>ta_gt</t>
    <phoneticPr fontId="18" type="noConversion"/>
  </si>
  <si>
    <t>vpd_gt</t>
    <phoneticPr fontId="18" type="noConversion"/>
  </si>
  <si>
    <t>sw_in_gt</t>
    <phoneticPr fontId="18" type="noConversion"/>
  </si>
  <si>
    <t>netrad_gt</t>
    <phoneticPr fontId="18" type="noConversion"/>
  </si>
  <si>
    <t>ws_gt</t>
    <phoneticPr fontId="18" type="noConversion"/>
  </si>
  <si>
    <t>swc_shal_gt</t>
    <phoneticPr fontId="18" type="noConversion"/>
  </si>
  <si>
    <t>ta_ot</t>
  </si>
  <si>
    <t>ta_ot</t>
    <phoneticPr fontId="18" type="noConversion"/>
  </si>
  <si>
    <t>vpd_ot</t>
    <phoneticPr fontId="18" type="noConversion"/>
  </si>
  <si>
    <t>sw_in_ot</t>
    <phoneticPr fontId="18" type="noConversion"/>
  </si>
  <si>
    <t>netrad_ot</t>
    <phoneticPr fontId="18" type="noConversion"/>
  </si>
  <si>
    <t>ws_ot</t>
    <phoneticPr fontId="18" type="noConversion"/>
  </si>
  <si>
    <t>swc_shal_ot</t>
    <phoneticPr fontId="18" type="noConversion"/>
  </si>
  <si>
    <t>site_mat</t>
    <phoneticPr fontId="18" type="noConversion"/>
  </si>
  <si>
    <t>site_map</t>
    <phoneticPr fontId="18" type="noConversion"/>
  </si>
  <si>
    <t>site elevation (m)</t>
    <phoneticPr fontId="18" type="noConversion"/>
  </si>
  <si>
    <t>annual average temperature (C)</t>
    <phoneticPr fontId="18" type="noConversion"/>
  </si>
  <si>
    <t>stand basal area (m2/ha)</t>
    <phoneticPr fontId="18" type="noConversion"/>
  </si>
  <si>
    <t>spe_perc</t>
    <phoneticPr fontId="18" type="noConversion"/>
  </si>
  <si>
    <t>basal area occupied by a species (%)</t>
  </si>
  <si>
    <t>annual precipitation (mm)</t>
    <phoneticPr fontId="18" type="noConversion"/>
  </si>
  <si>
    <t>pl_median_dbh</t>
    <phoneticPr fontId="18" type="noConversion"/>
  </si>
  <si>
    <t>diameter at breast height (DBH, cm)</t>
    <phoneticPr fontId="18" type="noConversion"/>
  </si>
  <si>
    <t>pl_median_sapwarea</t>
    <phoneticPr fontId="18" type="noConversion"/>
  </si>
  <si>
    <t>sapwood area (cm2)</t>
    <phoneticPr fontId="18" type="noConversion"/>
  </si>
  <si>
    <t>WD</t>
    <phoneticPr fontId="18" type="noConversion"/>
  </si>
  <si>
    <t>Ks</t>
    <phoneticPr fontId="18" type="noConversion"/>
  </si>
  <si>
    <t>P50</t>
    <phoneticPr fontId="18" type="noConversion"/>
  </si>
  <si>
    <t>Hmax</t>
    <phoneticPr fontId="18" type="noConversion"/>
  </si>
  <si>
    <t>wood density (g/cm3)</t>
    <phoneticPr fontId="18" type="noConversion"/>
  </si>
  <si>
    <t>hydraulic conductivity (Kg/m/s/MPa)</t>
    <phoneticPr fontId="18" type="noConversion"/>
  </si>
  <si>
    <t>xylem water potential at 50% loss of Ks (MPa)</t>
    <phoneticPr fontId="18" type="noConversion"/>
  </si>
  <si>
    <t>maximum height (m)</t>
    <phoneticPr fontId="18" type="noConversion"/>
  </si>
  <si>
    <t>ta_gd</t>
    <phoneticPr fontId="18" type="noConversion"/>
  </si>
  <si>
    <t>daily average air temperature during the growing season (C)</t>
    <phoneticPr fontId="18" type="noConversion"/>
  </si>
  <si>
    <t>vpd_gd</t>
    <phoneticPr fontId="18" type="noConversion"/>
  </si>
  <si>
    <t>daily average vapor pressure deficit during the growing season (kPa)</t>
    <phoneticPr fontId="18" type="noConversion"/>
  </si>
  <si>
    <t>precip_gd</t>
    <phoneticPr fontId="18" type="noConversion"/>
  </si>
  <si>
    <t>…</t>
    <phoneticPr fontId="18" type="noConversion"/>
  </si>
  <si>
    <t>precip1_gd</t>
    <phoneticPr fontId="18" type="noConversion"/>
  </si>
  <si>
    <t>total precipitation during the growing season (mm)</t>
    <phoneticPr fontId="18" type="noConversion"/>
  </si>
  <si>
    <t>annual precipitation during the growing season (mm)</t>
    <phoneticPr fontId="18" type="noConversion"/>
  </si>
  <si>
    <t>sw_in_gd</t>
    <phoneticPr fontId="18" type="noConversion"/>
  </si>
  <si>
    <t>netrad_gd</t>
    <phoneticPr fontId="18" type="noConversion"/>
  </si>
  <si>
    <t>net radiation during the growing season (W/m2)</t>
    <phoneticPr fontId="18" type="noConversion"/>
  </si>
  <si>
    <t>ws_gd</t>
    <phoneticPr fontId="18" type="noConversion"/>
  </si>
  <si>
    <t>shortwave incoming radiation during the growing season (W/m2)</t>
    <phoneticPr fontId="18" type="noConversion"/>
  </si>
  <si>
    <t>wind speed during the growing season (m/s)</t>
    <phoneticPr fontId="18" type="noConversion"/>
  </si>
  <si>
    <t>swc_shal_gd</t>
    <phoneticPr fontId="18" type="noConversion"/>
  </si>
  <si>
    <t>daytime average air temperature during the growing season (C)</t>
    <phoneticPr fontId="18" type="noConversion"/>
  </si>
  <si>
    <t>ta_od</t>
    <phoneticPr fontId="18" type="noConversion"/>
  </si>
  <si>
    <t>daily average air temperature during the entire observed period (C)</t>
    <phoneticPr fontId="18" type="noConversion"/>
  </si>
  <si>
    <t>daytime average air temperature during the entire observed period (C)</t>
    <phoneticPr fontId="18" type="noConversion"/>
  </si>
  <si>
    <t>slallow soil moisture during the growing season (m3/m3)</t>
    <phoneticPr fontId="18" type="noConversion"/>
  </si>
  <si>
    <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</si>
</sst>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3"/>
      <charset val="134"/>
      <scheme val="minor"/>
    </font>
    <font>
      <b/>
      <sz val="11"/>
      <name val="等线"/>
      <family val="3"/>
      <charset val="134"/>
      <scheme val="minor"/>
    </font>
    <font>
      <sz val="1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20" fillId="0" borderId="0" xfId="0" applyFont="1">
      <alignment vertical="center"/>
    </xf>
    <xf numFmtId="0" fontId="0" fillId="0" borderId="0" xfId="0" applyFill="1">
      <alignment vertical="center"/>
    </xf>
    <xf numFmtId="0" fontId="19" fillId="0" borderId="0" xfId="0" applyFont="1" applyFill="1">
      <alignment vertical="center"/>
    </xf>
    <xf numFmtId="0" fontId="21" fillId="0" borderId="0" xfId="0" applyFont="1" applyFill="1">
      <alignment vertical="center"/>
    </xf>
    <xf numFmtId="0" fontId="22" fillId="0" borderId="0" xfId="0" applyFont="1" applyFill="1">
      <alignment vertical="center"/>
    </xf>
    <xf numFmtId="0" fontId="20" fillId="0" borderId="0" xfId="0" applyFont="1" applyFill="1">
      <alignment vertical="center"/>
    </xf>
    <xf numFmtId="0" fontId="19"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05"/>
  <sheetViews>
    <sheetView workbookViewId="0">
      <selection activeCell="BH1" sqref="BH1"/>
    </sheetView>
  </sheetViews>
  <sheetFormatPr defaultRowHeight="13.8" x14ac:dyDescent="0.25"/>
  <cols>
    <col min="1" max="1" width="19.21875" bestFit="1" customWidth="1"/>
    <col min="4" max="4" width="8.21875" style="1" bestFit="1" customWidth="1"/>
    <col min="6" max="6" width="6.33203125" bestFit="1" customWidth="1"/>
    <col min="7" max="7" width="8.33203125" bestFit="1" customWidth="1"/>
    <col min="22" max="25" width="8.88671875" style="5"/>
    <col min="31" max="34" width="8.88671875" style="6"/>
  </cols>
  <sheetData>
    <row r="1" spans="1:65" s="3" customFormat="1" x14ac:dyDescent="0.25">
      <c r="A1" s="3" t="s">
        <v>0</v>
      </c>
      <c r="B1" s="3" t="s">
        <v>1</v>
      </c>
      <c r="C1" s="3" t="s">
        <v>2</v>
      </c>
      <c r="D1" s="3" t="s">
        <v>3</v>
      </c>
      <c r="E1" s="3" t="s">
        <v>4</v>
      </c>
      <c r="F1" s="3" t="s">
        <v>285</v>
      </c>
      <c r="G1" s="3" t="s">
        <v>5</v>
      </c>
      <c r="H1" s="3" t="s">
        <v>6</v>
      </c>
      <c r="I1" s="3" t="s">
        <v>7</v>
      </c>
      <c r="J1" s="3" t="s">
        <v>8</v>
      </c>
      <c r="K1" s="3" t="s">
        <v>341</v>
      </c>
      <c r="L1" s="3" t="s">
        <v>321</v>
      </c>
      <c r="M1" s="3" t="s">
        <v>322</v>
      </c>
      <c r="N1" s="3" t="s">
        <v>12</v>
      </c>
      <c r="O1" s="3" t="s">
        <v>13</v>
      </c>
      <c r="P1" s="3" t="s">
        <v>14</v>
      </c>
      <c r="Q1" s="3" t="s">
        <v>15</v>
      </c>
      <c r="R1" s="3" t="s">
        <v>16</v>
      </c>
      <c r="S1" s="3" t="s">
        <v>17</v>
      </c>
      <c r="T1" s="3" t="s">
        <v>18</v>
      </c>
      <c r="U1" s="3" t="s">
        <v>19</v>
      </c>
      <c r="V1" s="4" t="s">
        <v>20</v>
      </c>
      <c r="W1" s="4" t="s">
        <v>21</v>
      </c>
      <c r="X1" s="4" t="s">
        <v>22</v>
      </c>
      <c r="Y1" s="4" t="s">
        <v>310</v>
      </c>
      <c r="Z1" s="3" t="s">
        <v>23</v>
      </c>
      <c r="AA1" s="3" t="s">
        <v>311</v>
      </c>
      <c r="AB1" s="3" t="s">
        <v>24</v>
      </c>
      <c r="AC1" s="3" t="s">
        <v>25</v>
      </c>
      <c r="AD1" s="3" t="s">
        <v>346</v>
      </c>
      <c r="AE1" s="3" t="s">
        <v>306</v>
      </c>
      <c r="AF1" s="3" t="s">
        <v>307</v>
      </c>
      <c r="AG1" s="3" t="s">
        <v>308</v>
      </c>
      <c r="AH1" s="3" t="s">
        <v>309</v>
      </c>
      <c r="AI1" s="3" t="s">
        <v>27</v>
      </c>
      <c r="AJ1" s="3" t="s">
        <v>28</v>
      </c>
      <c r="AK1" s="3" t="s">
        <v>29</v>
      </c>
      <c r="AL1" s="3" t="s">
        <v>30</v>
      </c>
      <c r="AM1" s="3" t="s">
        <v>31</v>
      </c>
      <c r="AN1" s="3" t="s">
        <v>32</v>
      </c>
      <c r="AO1" s="3" t="s">
        <v>33</v>
      </c>
      <c r="AP1" s="3" t="s">
        <v>34</v>
      </c>
      <c r="AQ1" s="3" t="s">
        <v>366</v>
      </c>
      <c r="AR1" s="3" t="s">
        <v>368</v>
      </c>
      <c r="AS1" s="3" t="s">
        <v>371</v>
      </c>
      <c r="AT1" s="3" t="s">
        <v>323</v>
      </c>
      <c r="AU1" s="3" t="s">
        <v>324</v>
      </c>
      <c r="AV1" s="3" t="s">
        <v>325</v>
      </c>
      <c r="AW1" s="3" t="s">
        <v>326</v>
      </c>
      <c r="AX1" s="3" t="s">
        <v>327</v>
      </c>
      <c r="AY1" s="3" t="s">
        <v>328</v>
      </c>
      <c r="AZ1" s="3" t="s">
        <v>373</v>
      </c>
      <c r="BA1" s="3" t="s">
        <v>39</v>
      </c>
      <c r="BB1" s="3" t="s">
        <v>40</v>
      </c>
      <c r="BC1" s="3" t="s">
        <v>41</v>
      </c>
      <c r="BD1" s="3" t="s">
        <v>42</v>
      </c>
      <c r="BE1" s="3" t="s">
        <v>43</v>
      </c>
      <c r="BF1" s="3" t="s">
        <v>44</v>
      </c>
      <c r="BG1" s="3" t="s">
        <v>45</v>
      </c>
      <c r="BH1" s="3" t="s">
        <v>330</v>
      </c>
      <c r="BI1" s="3" t="s">
        <v>331</v>
      </c>
      <c r="BJ1" s="3" t="s">
        <v>332</v>
      </c>
      <c r="BK1" s="3" t="s">
        <v>333</v>
      </c>
      <c r="BL1" s="3" t="s">
        <v>334</v>
      </c>
      <c r="BM1" s="3" t="s">
        <v>335</v>
      </c>
    </row>
    <row r="2" spans="1:65" x14ac:dyDescent="0.25">
      <c r="A2" t="s">
        <v>247</v>
      </c>
      <c r="B2">
        <v>42.709777777799999</v>
      </c>
      <c r="C2">
        <v>-80.357399999999998</v>
      </c>
      <c r="D2" s="1" t="s">
        <v>47</v>
      </c>
      <c r="E2" t="s">
        <v>48</v>
      </c>
      <c r="F2" t="s">
        <v>49</v>
      </c>
      <c r="G2">
        <v>6.2E-2</v>
      </c>
      <c r="H2">
        <v>200.11101775762</v>
      </c>
      <c r="I2">
        <v>8.8474534514601793</v>
      </c>
      <c r="J2">
        <v>12</v>
      </c>
      <c r="K2">
        <v>100</v>
      </c>
      <c r="L2">
        <v>36</v>
      </c>
      <c r="M2">
        <v>184</v>
      </c>
      <c r="N2">
        <v>9</v>
      </c>
      <c r="O2">
        <v>1000.34398895587</v>
      </c>
      <c r="P2" t="s">
        <v>50</v>
      </c>
      <c r="Q2" t="s">
        <v>51</v>
      </c>
      <c r="R2">
        <v>74</v>
      </c>
      <c r="S2">
        <v>23.4</v>
      </c>
      <c r="T2">
        <v>321</v>
      </c>
      <c r="U2">
        <v>5.3</v>
      </c>
      <c r="V2" s="5">
        <v>98</v>
      </c>
      <c r="W2" s="5">
        <v>1</v>
      </c>
      <c r="X2" s="5">
        <v>1</v>
      </c>
      <c r="Y2" s="5">
        <v>1</v>
      </c>
      <c r="Z2" t="s">
        <v>52</v>
      </c>
      <c r="AA2" t="s">
        <v>53</v>
      </c>
      <c r="AB2">
        <v>15</v>
      </c>
      <c r="AC2">
        <v>38.515496220000003</v>
      </c>
      <c r="AD2">
        <v>275.31561579999999</v>
      </c>
      <c r="AE2" s="6">
        <v>0.34</v>
      </c>
      <c r="AG2" s="6">
        <v>3.3</v>
      </c>
      <c r="AH2" s="6">
        <v>30</v>
      </c>
      <c r="AK2" t="s">
        <v>54</v>
      </c>
      <c r="AL2">
        <v>19.007353554647199</v>
      </c>
      <c r="AM2">
        <v>0.64047882274759205</v>
      </c>
      <c r="AN2">
        <v>3334.0335</v>
      </c>
      <c r="AO2">
        <v>416.7541875</v>
      </c>
      <c r="AP2">
        <v>255.42331184707601</v>
      </c>
      <c r="AQ2">
        <v>355.670506677292</v>
      </c>
      <c r="AR2">
        <v>2.0612222369778102</v>
      </c>
      <c r="AS2">
        <v>9.3016774922213705E-2</v>
      </c>
      <c r="AT2">
        <v>20.7739521801244</v>
      </c>
      <c r="AU2">
        <v>0.87015587225608204</v>
      </c>
      <c r="AV2">
        <v>490.94649511815101</v>
      </c>
      <c r="AW2">
        <v>379.00837801154898</v>
      </c>
      <c r="AX2">
        <v>2.37098805979653</v>
      </c>
      <c r="AY2">
        <v>9.3102666868164097E-2</v>
      </c>
      <c r="AZ2">
        <v>9.4114124490298607</v>
      </c>
      <c r="BA2">
        <v>0.39463590461579201</v>
      </c>
      <c r="BB2">
        <v>8468.39</v>
      </c>
      <c r="BC2">
        <v>940.93222222222198</v>
      </c>
      <c r="BD2">
        <v>179.371577387006</v>
      </c>
      <c r="BE2">
        <v>263.02905895426301</v>
      </c>
      <c r="BF2">
        <v>2.2975764055953101</v>
      </c>
      <c r="BG2">
        <v>0.113956472826396</v>
      </c>
      <c r="BH2">
        <v>10.653788027093899</v>
      </c>
      <c r="BI2">
        <v>0.51918011639808503</v>
      </c>
      <c r="BJ2">
        <v>344.35045305966003</v>
      </c>
      <c r="BK2">
        <v>276.000063203011</v>
      </c>
      <c r="BL2">
        <v>2.5427200689963501</v>
      </c>
      <c r="BM2">
        <v>0.113903734776028</v>
      </c>
    </row>
    <row r="3" spans="1:65" x14ac:dyDescent="0.25">
      <c r="A3" t="s">
        <v>46</v>
      </c>
      <c r="B3">
        <v>42.709777777799999</v>
      </c>
      <c r="C3">
        <v>-80.357399999999998</v>
      </c>
      <c r="D3" s="1" t="s">
        <v>47</v>
      </c>
      <c r="E3" t="s">
        <v>48</v>
      </c>
      <c r="F3" t="s">
        <v>49</v>
      </c>
      <c r="G3">
        <v>0.11600000000000001</v>
      </c>
      <c r="H3">
        <v>14.277140063898999</v>
      </c>
      <c r="I3">
        <v>-5.32304396045412</v>
      </c>
      <c r="J3">
        <v>21</v>
      </c>
      <c r="K3">
        <v>100</v>
      </c>
      <c r="L3">
        <v>36</v>
      </c>
      <c r="M3">
        <v>184</v>
      </c>
      <c r="N3">
        <v>9</v>
      </c>
      <c r="O3">
        <v>1000.34398895587</v>
      </c>
      <c r="P3" t="s">
        <v>50</v>
      </c>
      <c r="Q3" t="s">
        <v>51</v>
      </c>
      <c r="R3">
        <v>74</v>
      </c>
      <c r="S3">
        <v>23.4</v>
      </c>
      <c r="T3">
        <v>421</v>
      </c>
      <c r="U3">
        <v>5.3</v>
      </c>
      <c r="V3" s="5">
        <v>98</v>
      </c>
      <c r="W3" s="5">
        <v>1</v>
      </c>
      <c r="X3" s="5">
        <v>1</v>
      </c>
      <c r="Y3" s="5">
        <v>1</v>
      </c>
      <c r="Z3" t="s">
        <v>52</v>
      </c>
      <c r="AA3" t="s">
        <v>53</v>
      </c>
      <c r="AB3">
        <v>15</v>
      </c>
      <c r="AC3">
        <v>38.515496220000003</v>
      </c>
      <c r="AD3">
        <v>275.31561579999999</v>
      </c>
      <c r="AE3" s="6">
        <v>0.34</v>
      </c>
      <c r="AG3" s="6">
        <v>3.3</v>
      </c>
      <c r="AH3" s="6">
        <v>30</v>
      </c>
      <c r="AK3" t="s">
        <v>54</v>
      </c>
      <c r="AL3">
        <v>19.007353554647199</v>
      </c>
      <c r="AM3">
        <v>0.64047882274759205</v>
      </c>
      <c r="AN3">
        <v>3334.0335</v>
      </c>
      <c r="AO3">
        <v>416.7541875</v>
      </c>
      <c r="AP3">
        <v>255.42331184707601</v>
      </c>
      <c r="AQ3">
        <v>355.670506677292</v>
      </c>
      <c r="AR3">
        <v>2.0612222369778102</v>
      </c>
      <c r="AS3">
        <v>9.3016774922213705E-2</v>
      </c>
      <c r="AT3">
        <v>20.7739521801244</v>
      </c>
      <c r="AU3">
        <v>0.87015587225608204</v>
      </c>
      <c r="AV3">
        <v>490.94649511815101</v>
      </c>
      <c r="AW3">
        <v>379.00837801154898</v>
      </c>
      <c r="AX3">
        <v>2.37098805979653</v>
      </c>
      <c r="AY3">
        <v>9.3102666868164097E-2</v>
      </c>
      <c r="AZ3">
        <v>9.4114124490298607</v>
      </c>
      <c r="BA3">
        <v>0.39463590461579201</v>
      </c>
      <c r="BB3">
        <v>8468.39</v>
      </c>
      <c r="BC3">
        <v>940.93222222222198</v>
      </c>
      <c r="BD3">
        <v>179.371577387006</v>
      </c>
      <c r="BE3">
        <v>263.02905895426301</v>
      </c>
      <c r="BF3">
        <v>2.2975764055953101</v>
      </c>
      <c r="BG3">
        <v>0.113956472826396</v>
      </c>
      <c r="BH3">
        <v>10.653788027093899</v>
      </c>
      <c r="BI3">
        <v>0.51918011639808503</v>
      </c>
      <c r="BJ3">
        <v>344.35045305966003</v>
      </c>
      <c r="BK3">
        <v>276.000063203011</v>
      </c>
      <c r="BL3">
        <v>2.5427200689963501</v>
      </c>
      <c r="BM3">
        <v>0.113903734776028</v>
      </c>
    </row>
    <row r="4" spans="1:65" x14ac:dyDescent="0.25">
      <c r="A4" t="s">
        <v>55</v>
      </c>
      <c r="B4">
        <v>42.706811111100002</v>
      </c>
      <c r="C4">
        <v>-80.348313888899995</v>
      </c>
      <c r="D4" s="1" t="s">
        <v>47</v>
      </c>
      <c r="E4" t="s">
        <v>48</v>
      </c>
      <c r="F4" t="s">
        <v>49</v>
      </c>
      <c r="G4">
        <v>7.4999999999999997E-2</v>
      </c>
      <c r="H4">
        <v>170.95901219250601</v>
      </c>
      <c r="I4">
        <v>-3.26306229607277</v>
      </c>
      <c r="J4">
        <v>16</v>
      </c>
      <c r="K4">
        <v>100</v>
      </c>
      <c r="L4">
        <v>40</v>
      </c>
      <c r="M4">
        <v>184</v>
      </c>
      <c r="N4">
        <v>9</v>
      </c>
      <c r="O4">
        <v>1002.61512314027</v>
      </c>
      <c r="P4" t="s">
        <v>50</v>
      </c>
      <c r="Q4" t="s">
        <v>51</v>
      </c>
      <c r="R4">
        <v>39</v>
      </c>
      <c r="S4">
        <v>16.2</v>
      </c>
      <c r="T4">
        <v>1583</v>
      </c>
      <c r="U4">
        <v>6.7</v>
      </c>
      <c r="V4" s="5">
        <v>98</v>
      </c>
      <c r="W4" s="5">
        <v>1</v>
      </c>
      <c r="X4" s="5">
        <v>1</v>
      </c>
      <c r="Y4" s="5">
        <v>1</v>
      </c>
      <c r="Z4" t="s">
        <v>52</v>
      </c>
      <c r="AA4" t="s">
        <v>53</v>
      </c>
      <c r="AB4">
        <v>15</v>
      </c>
      <c r="AC4">
        <v>19.45</v>
      </c>
      <c r="AD4">
        <v>60.2</v>
      </c>
      <c r="AE4" s="6">
        <v>0.34</v>
      </c>
      <c r="AG4" s="6">
        <v>3.3</v>
      </c>
      <c r="AH4" s="6">
        <v>30</v>
      </c>
      <c r="AK4" t="s">
        <v>54</v>
      </c>
      <c r="AL4">
        <v>18.710562991926</v>
      </c>
      <c r="AM4">
        <v>0.55826220879625099</v>
      </c>
      <c r="AN4">
        <v>3334.0335</v>
      </c>
      <c r="AO4">
        <v>416.7541875</v>
      </c>
      <c r="AP4">
        <v>234.97804722065601</v>
      </c>
      <c r="AQ4">
        <v>318.43455754224101</v>
      </c>
      <c r="AR4">
        <v>2.0688706157298502</v>
      </c>
      <c r="AS4">
        <v>8.2299747436632098E-2</v>
      </c>
      <c r="AT4">
        <v>20.522606533361401</v>
      </c>
      <c r="AU4">
        <v>0.79787543889672197</v>
      </c>
      <c r="AV4">
        <v>463.18493487861201</v>
      </c>
      <c r="AW4">
        <v>335.991963632416</v>
      </c>
      <c r="AX4">
        <v>2.4939354939726601</v>
      </c>
      <c r="AY4">
        <v>8.2399178720586705E-2</v>
      </c>
      <c r="AZ4">
        <v>9.0976526665151791</v>
      </c>
      <c r="BA4">
        <v>0.34187914063980701</v>
      </c>
      <c r="BB4">
        <v>8468.39</v>
      </c>
      <c r="BC4">
        <v>940.93222222222198</v>
      </c>
      <c r="BD4">
        <v>157.234235409191</v>
      </c>
      <c r="BE4">
        <v>224.282853438465</v>
      </c>
      <c r="BF4">
        <v>2.3350231493550901</v>
      </c>
      <c r="BG4">
        <v>0.10483649452900901</v>
      </c>
      <c r="BH4">
        <v>10.4681799154764</v>
      </c>
      <c r="BI4">
        <v>0.47610659774106101</v>
      </c>
      <c r="BJ4">
        <v>328.63394994407901</v>
      </c>
      <c r="BK4">
        <v>233.322152572806</v>
      </c>
      <c r="BL4">
        <v>2.7032348666664001</v>
      </c>
      <c r="BM4">
        <v>0.104807822978952</v>
      </c>
    </row>
    <row r="5" spans="1:65" x14ac:dyDescent="0.25">
      <c r="A5" t="s">
        <v>56</v>
      </c>
      <c r="B5">
        <v>48.681666666666601</v>
      </c>
      <c r="C5">
        <v>16.946388888888801</v>
      </c>
      <c r="D5" s="1" t="s">
        <v>248</v>
      </c>
      <c r="E5" t="s">
        <v>249</v>
      </c>
      <c r="F5" t="s">
        <v>49</v>
      </c>
      <c r="G5">
        <v>0.30399999999999999</v>
      </c>
      <c r="H5">
        <v>20.458042259783099</v>
      </c>
      <c r="I5">
        <v>0.21976573976334299</v>
      </c>
      <c r="J5">
        <v>5</v>
      </c>
      <c r="K5">
        <v>21.1</v>
      </c>
      <c r="L5">
        <v>30.3</v>
      </c>
      <c r="M5">
        <v>150</v>
      </c>
      <c r="N5">
        <v>10.4</v>
      </c>
      <c r="O5">
        <v>538.08151601876898</v>
      </c>
      <c r="P5" t="s">
        <v>59</v>
      </c>
      <c r="Q5" t="s">
        <v>60</v>
      </c>
      <c r="R5">
        <v>110</v>
      </c>
      <c r="S5">
        <v>36</v>
      </c>
      <c r="T5">
        <v>240</v>
      </c>
      <c r="U5">
        <v>6.04</v>
      </c>
      <c r="V5" s="5">
        <v>71.8</v>
      </c>
      <c r="W5" s="5">
        <v>17.8</v>
      </c>
      <c r="X5" s="5">
        <v>10.4</v>
      </c>
      <c r="Y5" s="5">
        <v>1</v>
      </c>
      <c r="Z5" t="s">
        <v>61</v>
      </c>
      <c r="AA5" t="s">
        <v>62</v>
      </c>
      <c r="AB5">
        <v>10</v>
      </c>
      <c r="AC5">
        <v>34.1</v>
      </c>
      <c r="AE5" s="6">
        <v>0.54</v>
      </c>
      <c r="AF5" s="6">
        <v>1.41</v>
      </c>
      <c r="AG5" s="6">
        <v>4.1500000000000004</v>
      </c>
      <c r="AI5">
        <v>51</v>
      </c>
      <c r="AJ5">
        <v>10.5</v>
      </c>
      <c r="AK5" t="s">
        <v>250</v>
      </c>
      <c r="AL5">
        <v>18.8390112080473</v>
      </c>
      <c r="AM5">
        <v>0.75406301964088496</v>
      </c>
      <c r="AN5">
        <v>284.2</v>
      </c>
      <c r="AO5">
        <v>284.2</v>
      </c>
      <c r="AP5">
        <v>228.20062389479801</v>
      </c>
      <c r="AQ5">
        <v>306.503864085065</v>
      </c>
      <c r="AR5">
        <v>1.49542741121985</v>
      </c>
      <c r="AS5">
        <v>0.359123580700343</v>
      </c>
      <c r="AT5">
        <v>20.968171655820498</v>
      </c>
      <c r="AU5">
        <v>1.07051024253158</v>
      </c>
      <c r="AV5">
        <v>444.108737443275</v>
      </c>
      <c r="AW5">
        <v>328.42630267647701</v>
      </c>
      <c r="AX5">
        <v>1.6908671678732199</v>
      </c>
      <c r="AY5">
        <v>0.35856482791011202</v>
      </c>
      <c r="AZ5">
        <v>10.8896657463336</v>
      </c>
      <c r="BA5">
        <v>0.43615296393798902</v>
      </c>
      <c r="BB5">
        <v>504</v>
      </c>
      <c r="BC5">
        <v>504</v>
      </c>
      <c r="BD5">
        <v>139.386409333751</v>
      </c>
      <c r="BE5">
        <v>202.53368120579299</v>
      </c>
      <c r="BF5">
        <v>1.74326395291422</v>
      </c>
      <c r="BG5">
        <v>0.36667048669975499</v>
      </c>
      <c r="BH5">
        <v>12.4085153948292</v>
      </c>
      <c r="BI5">
        <v>0.61051296782984599</v>
      </c>
      <c r="BJ5">
        <v>284.66148159600698</v>
      </c>
      <c r="BK5">
        <v>212.85626515689299</v>
      </c>
      <c r="BL5">
        <v>1.9443293406627999</v>
      </c>
      <c r="BM5">
        <v>0.36635820324625301</v>
      </c>
    </row>
    <row r="6" spans="1:65" x14ac:dyDescent="0.25">
      <c r="A6" t="s">
        <v>56</v>
      </c>
      <c r="B6">
        <v>48.681666666666601</v>
      </c>
      <c r="C6">
        <v>16.946388888888801</v>
      </c>
      <c r="D6" s="1" t="s">
        <v>57</v>
      </c>
      <c r="E6" t="s">
        <v>58</v>
      </c>
      <c r="F6" t="s">
        <v>49</v>
      </c>
      <c r="G6">
        <v>0.30199999999999999</v>
      </c>
      <c r="H6">
        <v>20.387114287877601</v>
      </c>
      <c r="I6">
        <v>-2.45187862747555</v>
      </c>
      <c r="J6">
        <v>6</v>
      </c>
      <c r="K6">
        <v>28.95</v>
      </c>
      <c r="L6">
        <v>30.3</v>
      </c>
      <c r="M6">
        <v>150</v>
      </c>
      <c r="N6">
        <v>10.4</v>
      </c>
      <c r="O6">
        <v>538.08151601876898</v>
      </c>
      <c r="P6" t="s">
        <v>59</v>
      </c>
      <c r="Q6" t="s">
        <v>60</v>
      </c>
      <c r="R6">
        <v>110</v>
      </c>
      <c r="S6">
        <v>36</v>
      </c>
      <c r="T6">
        <v>240</v>
      </c>
      <c r="U6">
        <v>6.04</v>
      </c>
      <c r="V6" s="5">
        <v>71.8</v>
      </c>
      <c r="W6" s="5">
        <v>17.8</v>
      </c>
      <c r="X6" s="5">
        <v>10.4</v>
      </c>
      <c r="Y6" s="5">
        <v>1</v>
      </c>
      <c r="Z6" t="s">
        <v>61</v>
      </c>
      <c r="AA6" t="s">
        <v>62</v>
      </c>
      <c r="AB6">
        <v>10</v>
      </c>
      <c r="AC6">
        <v>57.15</v>
      </c>
      <c r="AE6" s="6">
        <v>0.56000000000000005</v>
      </c>
      <c r="AF6" s="6">
        <v>1.65</v>
      </c>
      <c r="AG6" s="6">
        <v>2.83</v>
      </c>
      <c r="AH6" s="6">
        <v>35</v>
      </c>
      <c r="AK6" t="s">
        <v>63</v>
      </c>
      <c r="AL6">
        <v>18.8390112080473</v>
      </c>
      <c r="AM6">
        <v>0.75406301964088496</v>
      </c>
      <c r="AN6">
        <v>284.2</v>
      </c>
      <c r="AO6">
        <v>284.2</v>
      </c>
      <c r="AP6">
        <v>228.20062389479801</v>
      </c>
      <c r="AQ6">
        <v>306.503864085065</v>
      </c>
      <c r="AR6">
        <v>1.49542741121985</v>
      </c>
      <c r="AS6">
        <v>0.359123580700343</v>
      </c>
      <c r="AT6">
        <v>20.968171655820498</v>
      </c>
      <c r="AU6">
        <v>1.07051024253158</v>
      </c>
      <c r="AV6">
        <v>444.108737443275</v>
      </c>
      <c r="AW6">
        <v>328.42630267647701</v>
      </c>
      <c r="AX6">
        <v>1.6908671678732199</v>
      </c>
      <c r="AY6">
        <v>0.35856482791011202</v>
      </c>
      <c r="AZ6">
        <v>10.8896657463336</v>
      </c>
      <c r="BA6">
        <v>0.43615296393798902</v>
      </c>
      <c r="BB6">
        <v>504</v>
      </c>
      <c r="BC6">
        <v>504</v>
      </c>
      <c r="BD6">
        <v>139.386409333751</v>
      </c>
      <c r="BE6">
        <v>202.53368120579299</v>
      </c>
      <c r="BF6">
        <v>1.74326395291422</v>
      </c>
      <c r="BG6">
        <v>0.36667048669975499</v>
      </c>
      <c r="BH6">
        <v>12.4085153948292</v>
      </c>
      <c r="BI6">
        <v>0.61051296782984599</v>
      </c>
      <c r="BJ6">
        <v>284.66148159600698</v>
      </c>
      <c r="BK6">
        <v>212.85626515689299</v>
      </c>
      <c r="BL6">
        <v>1.9443293406627999</v>
      </c>
      <c r="BM6">
        <v>0.36635820324625301</v>
      </c>
    </row>
    <row r="7" spans="1:65" x14ac:dyDescent="0.25">
      <c r="A7" t="s">
        <v>64</v>
      </c>
      <c r="B7">
        <v>49.066679999999998</v>
      </c>
      <c r="C7">
        <v>13.67975</v>
      </c>
      <c r="D7" s="1" t="s">
        <v>65</v>
      </c>
      <c r="E7" t="s">
        <v>66</v>
      </c>
      <c r="F7" t="s">
        <v>49</v>
      </c>
      <c r="G7">
        <v>0.183</v>
      </c>
      <c r="H7">
        <v>14.6955535320254</v>
      </c>
      <c r="I7">
        <v>-28.756685183754801</v>
      </c>
      <c r="J7">
        <v>6</v>
      </c>
      <c r="K7">
        <v>100</v>
      </c>
      <c r="L7">
        <v>55.7</v>
      </c>
      <c r="M7">
        <v>858</v>
      </c>
      <c r="N7">
        <v>6.0300127007346402</v>
      </c>
      <c r="O7">
        <v>837.05272876962704</v>
      </c>
      <c r="P7" t="s">
        <v>50</v>
      </c>
      <c r="Q7" t="s">
        <v>51</v>
      </c>
      <c r="R7">
        <v>80</v>
      </c>
      <c r="S7">
        <v>28</v>
      </c>
      <c r="T7">
        <v>450</v>
      </c>
      <c r="U7">
        <v>5.66</v>
      </c>
      <c r="V7" s="5">
        <v>60.75</v>
      </c>
      <c r="W7" s="5">
        <v>8.27</v>
      </c>
      <c r="X7" s="5">
        <v>30.98</v>
      </c>
      <c r="Y7" s="5">
        <v>1</v>
      </c>
      <c r="Z7" t="s">
        <v>61</v>
      </c>
      <c r="AA7" t="s">
        <v>62</v>
      </c>
      <c r="AB7">
        <v>15</v>
      </c>
      <c r="AC7">
        <v>44.05</v>
      </c>
      <c r="AD7">
        <v>648.42499999999995</v>
      </c>
      <c r="AE7" s="6">
        <v>0.66900000000000004</v>
      </c>
      <c r="AF7" s="6">
        <v>0.58228000000000002</v>
      </c>
      <c r="AG7" s="6">
        <v>3.74</v>
      </c>
      <c r="AH7" s="6">
        <v>55</v>
      </c>
      <c r="AI7">
        <v>48.42</v>
      </c>
      <c r="AJ7">
        <v>11.65</v>
      </c>
      <c r="AK7" t="s">
        <v>67</v>
      </c>
      <c r="AL7">
        <v>13.961064420109899</v>
      </c>
      <c r="AM7">
        <v>0.482680359507212</v>
      </c>
      <c r="AN7">
        <v>1221.0999999999999</v>
      </c>
      <c r="AO7">
        <v>407.03333333333302</v>
      </c>
      <c r="AP7">
        <v>169.950116522532</v>
      </c>
      <c r="AR7">
        <v>0.91404995477675099</v>
      </c>
      <c r="AS7">
        <v>0.16740060301314699</v>
      </c>
      <c r="AT7">
        <v>15.921938013785599</v>
      </c>
      <c r="AU7">
        <v>0.69234779613617503</v>
      </c>
      <c r="AV7">
        <v>347.00559186359402</v>
      </c>
      <c r="AX7">
        <v>1.0708974578318999</v>
      </c>
      <c r="AY7">
        <v>0.167451167681232</v>
      </c>
      <c r="AZ7">
        <v>7.8426568077239898</v>
      </c>
      <c r="BA7">
        <v>0.32829661369193203</v>
      </c>
      <c r="BB7">
        <v>2000.9</v>
      </c>
      <c r="BC7">
        <v>666.96666666666601</v>
      </c>
      <c r="BD7">
        <v>120.61666312299</v>
      </c>
      <c r="BF7">
        <v>0.90175053166406005</v>
      </c>
      <c r="BG7">
        <v>0.16899011108395701</v>
      </c>
      <c r="BH7">
        <v>10.0180429878176</v>
      </c>
      <c r="BI7">
        <v>0.48246727096887199</v>
      </c>
      <c r="BJ7">
        <v>259.02178080609798</v>
      </c>
      <c r="BL7">
        <v>1.0303017479834899</v>
      </c>
      <c r="BM7">
        <v>0.17198297231402301</v>
      </c>
    </row>
    <row r="8" spans="1:65" x14ac:dyDescent="0.25">
      <c r="A8" t="s">
        <v>68</v>
      </c>
      <c r="B8">
        <v>49.035833333333301</v>
      </c>
      <c r="C8">
        <v>17.97</v>
      </c>
      <c r="D8" s="1" t="s">
        <v>69</v>
      </c>
      <c r="E8" t="s">
        <v>70</v>
      </c>
      <c r="F8" t="s">
        <v>49</v>
      </c>
      <c r="G8">
        <v>0.28100000000000003</v>
      </c>
      <c r="H8">
        <v>24.944069851624999</v>
      </c>
      <c r="I8">
        <v>-200.71105342708901</v>
      </c>
      <c r="J8">
        <v>8</v>
      </c>
      <c r="K8">
        <v>100</v>
      </c>
      <c r="L8">
        <v>33.69</v>
      </c>
      <c r="M8">
        <v>550</v>
      </c>
      <c r="N8">
        <v>7.6433410257725303</v>
      </c>
      <c r="O8">
        <v>823.694506131661</v>
      </c>
      <c r="P8" t="s">
        <v>71</v>
      </c>
      <c r="Q8" t="s">
        <v>51</v>
      </c>
      <c r="R8">
        <v>114</v>
      </c>
      <c r="S8">
        <v>31</v>
      </c>
      <c r="T8">
        <v>281</v>
      </c>
      <c r="U8">
        <v>5.5</v>
      </c>
      <c r="V8" s="5">
        <v>47.6</v>
      </c>
      <c r="W8" s="5">
        <v>34.200000000000003</v>
      </c>
      <c r="X8" s="5">
        <v>18.2</v>
      </c>
      <c r="Y8" s="5">
        <v>1</v>
      </c>
      <c r="Z8" t="s">
        <v>61</v>
      </c>
      <c r="AA8" t="s">
        <v>72</v>
      </c>
      <c r="AB8">
        <v>10</v>
      </c>
      <c r="AC8">
        <v>44.05</v>
      </c>
      <c r="AE8" s="6">
        <v>0.58499999999999996</v>
      </c>
      <c r="AF8" s="6">
        <v>1.83</v>
      </c>
      <c r="AG8" s="6">
        <v>3.42</v>
      </c>
      <c r="AH8" s="6">
        <v>35</v>
      </c>
      <c r="AI8">
        <v>48.42</v>
      </c>
      <c r="AJ8">
        <v>11.65</v>
      </c>
      <c r="AK8" t="s">
        <v>73</v>
      </c>
      <c r="AL8">
        <v>16.947489512551499</v>
      </c>
      <c r="AM8">
        <v>0.54844876461579095</v>
      </c>
      <c r="AN8">
        <v>355.90000049999998</v>
      </c>
      <c r="AO8">
        <v>355.90000049999998</v>
      </c>
      <c r="AP8">
        <v>216.33742202620201</v>
      </c>
      <c r="AQ8">
        <v>282.27490309791801</v>
      </c>
      <c r="AR8">
        <v>0.52904319379584896</v>
      </c>
      <c r="AS8">
        <v>0.26200202659208499</v>
      </c>
      <c r="AT8">
        <v>18.768143902028701</v>
      </c>
      <c r="AU8">
        <v>0.75654988876524798</v>
      </c>
      <c r="AV8">
        <v>420.97196670404003</v>
      </c>
      <c r="AW8">
        <v>302.91899239328001</v>
      </c>
      <c r="AX8">
        <v>0.64150357352721998</v>
      </c>
      <c r="AY8">
        <v>0.261978270052795</v>
      </c>
      <c r="AZ8">
        <v>8.9054962841707503</v>
      </c>
      <c r="BA8">
        <v>0.29848500462792699</v>
      </c>
      <c r="BB8">
        <v>670.30000050000001</v>
      </c>
      <c r="BC8">
        <v>670.30000050000001</v>
      </c>
      <c r="BD8">
        <v>131.926686880696</v>
      </c>
      <c r="BE8">
        <v>186.20463660654499</v>
      </c>
      <c r="BF8">
        <v>0.97220288930434995</v>
      </c>
      <c r="BG8">
        <v>0.28361075665459501</v>
      </c>
      <c r="BH8">
        <v>10.1148888703146</v>
      </c>
      <c r="BI8">
        <v>0.40874447538716902</v>
      </c>
      <c r="BJ8">
        <v>268.797052441034</v>
      </c>
      <c r="BK8">
        <v>196.602003111024</v>
      </c>
      <c r="BL8">
        <v>1.06540003913476</v>
      </c>
      <c r="BM8">
        <v>0.28355916732075598</v>
      </c>
    </row>
    <row r="9" spans="1:65" x14ac:dyDescent="0.25">
      <c r="A9" t="s">
        <v>74</v>
      </c>
      <c r="B9">
        <v>53.1</v>
      </c>
      <c r="C9">
        <v>13</v>
      </c>
      <c r="D9" s="1" t="s">
        <v>69</v>
      </c>
      <c r="E9" t="s">
        <v>70</v>
      </c>
      <c r="F9" t="s">
        <v>49</v>
      </c>
      <c r="G9">
        <v>0.06</v>
      </c>
      <c r="H9">
        <v>506.30945668291298</v>
      </c>
      <c r="I9">
        <v>-16.246231896318999</v>
      </c>
      <c r="J9">
        <v>10</v>
      </c>
      <c r="K9">
        <v>100</v>
      </c>
      <c r="L9">
        <v>24.91</v>
      </c>
      <c r="M9">
        <v>78</v>
      </c>
      <c r="N9">
        <v>8.9</v>
      </c>
      <c r="O9">
        <v>594.60226271272199</v>
      </c>
      <c r="P9" t="s">
        <v>71</v>
      </c>
      <c r="Q9" t="s">
        <v>60</v>
      </c>
      <c r="R9">
        <v>116</v>
      </c>
      <c r="S9">
        <v>27.2</v>
      </c>
      <c r="T9">
        <v>216</v>
      </c>
      <c r="V9" s="5">
        <v>92.5</v>
      </c>
      <c r="W9" s="5">
        <v>2.5</v>
      </c>
      <c r="X9" s="5">
        <v>5</v>
      </c>
      <c r="Y9" s="5">
        <v>1</v>
      </c>
      <c r="Z9" t="s">
        <v>52</v>
      </c>
      <c r="AA9" t="s">
        <v>53</v>
      </c>
      <c r="AB9">
        <v>20</v>
      </c>
      <c r="AC9">
        <v>45.2</v>
      </c>
      <c r="AD9">
        <v>991.76310162645404</v>
      </c>
      <c r="AE9" s="6">
        <v>0.6</v>
      </c>
      <c r="AF9" s="6">
        <v>0.86</v>
      </c>
      <c r="AG9" s="6">
        <v>3.29</v>
      </c>
      <c r="AI9">
        <v>51</v>
      </c>
      <c r="AJ9">
        <v>10.5</v>
      </c>
      <c r="AK9" t="s">
        <v>75</v>
      </c>
      <c r="AL9">
        <v>14.7397752478608</v>
      </c>
      <c r="AM9">
        <v>0.38223801644920102</v>
      </c>
      <c r="AN9">
        <v>692.3</v>
      </c>
      <c r="AO9">
        <v>346.15</v>
      </c>
      <c r="AP9">
        <v>160.24500854488301</v>
      </c>
      <c r="AR9">
        <v>1.3578359342932</v>
      </c>
      <c r="AS9">
        <v>8.5866557438192603E-2</v>
      </c>
      <c r="AT9">
        <v>17.913986680530702</v>
      </c>
      <c r="AU9">
        <v>0.69167448104824703</v>
      </c>
      <c r="AV9">
        <v>312.92682296824398</v>
      </c>
      <c r="AX9">
        <v>2.09284594309104</v>
      </c>
      <c r="AY9">
        <v>8.5815286885245798E-2</v>
      </c>
      <c r="AZ9">
        <v>8.1500250207887799</v>
      </c>
      <c r="BA9">
        <v>0.215185334388834</v>
      </c>
      <c r="BB9">
        <v>1329.9</v>
      </c>
      <c r="BC9">
        <v>443.3</v>
      </c>
      <c r="BD9">
        <v>100.297896613737</v>
      </c>
      <c r="BF9">
        <v>1.2786876814893999</v>
      </c>
      <c r="BG9">
        <v>0.106706345757107</v>
      </c>
      <c r="BH9">
        <v>10.4325338879972</v>
      </c>
      <c r="BI9">
        <v>0.38490057703123598</v>
      </c>
      <c r="BJ9">
        <v>203.31386646413301</v>
      </c>
      <c r="BL9">
        <v>1.8720304989508101</v>
      </c>
      <c r="BM9">
        <v>0.10669613869863</v>
      </c>
    </row>
    <row r="10" spans="1:65" x14ac:dyDescent="0.25">
      <c r="A10" t="s">
        <v>76</v>
      </c>
      <c r="B10">
        <v>40.776899999999998</v>
      </c>
      <c r="C10">
        <v>-2.3283</v>
      </c>
      <c r="D10" s="1" t="s">
        <v>77</v>
      </c>
      <c r="E10" t="s">
        <v>78</v>
      </c>
      <c r="F10" t="s">
        <v>49</v>
      </c>
      <c r="G10">
        <v>2.4E-2</v>
      </c>
      <c r="H10">
        <v>55.955973171524697</v>
      </c>
      <c r="I10">
        <v>-1.3967312967757799</v>
      </c>
      <c r="J10">
        <v>5</v>
      </c>
      <c r="K10">
        <v>35.1</v>
      </c>
      <c r="L10">
        <v>13.7</v>
      </c>
      <c r="M10">
        <v>1079</v>
      </c>
      <c r="N10">
        <v>11.539147033715199</v>
      </c>
      <c r="O10">
        <v>647.85536959654905</v>
      </c>
      <c r="P10" t="s">
        <v>59</v>
      </c>
      <c r="Q10" t="s">
        <v>60</v>
      </c>
      <c r="R10">
        <v>49</v>
      </c>
      <c r="T10">
        <v>2400</v>
      </c>
      <c r="U10">
        <v>1.0900000000000001</v>
      </c>
      <c r="V10" s="5">
        <v>41.4</v>
      </c>
      <c r="W10" s="5">
        <v>21.87</v>
      </c>
      <c r="X10" s="5">
        <v>36.729999999999997</v>
      </c>
      <c r="Y10" s="5">
        <v>2</v>
      </c>
      <c r="Z10" t="s">
        <v>79</v>
      </c>
      <c r="AA10" t="s">
        <v>80</v>
      </c>
      <c r="AB10">
        <v>20</v>
      </c>
      <c r="AC10">
        <v>27.6</v>
      </c>
      <c r="AE10" s="6">
        <v>0.5</v>
      </c>
      <c r="AF10" s="6">
        <v>0.35</v>
      </c>
      <c r="AG10" s="6">
        <v>3.9</v>
      </c>
      <c r="AH10" s="6">
        <v>55</v>
      </c>
      <c r="AI10" t="s">
        <v>81</v>
      </c>
      <c r="AK10" t="s">
        <v>82</v>
      </c>
      <c r="AL10">
        <v>19.340206249619001</v>
      </c>
      <c r="AM10">
        <v>1.45094947958943</v>
      </c>
      <c r="AN10">
        <v>599.6</v>
      </c>
      <c r="AO10">
        <v>99.933333333333294</v>
      </c>
      <c r="AP10">
        <v>219.757691684268</v>
      </c>
      <c r="AQ10">
        <v>241.68161007554701</v>
      </c>
      <c r="AR10">
        <v>0.419315142690106</v>
      </c>
      <c r="AS10">
        <v>3.0531205851759401E-2</v>
      </c>
      <c r="AT10">
        <v>21.571678238428198</v>
      </c>
      <c r="AU10">
        <v>1.8219458569414999</v>
      </c>
      <c r="AV10">
        <v>417.08247441544501</v>
      </c>
      <c r="AW10">
        <v>462.882938462629</v>
      </c>
      <c r="AX10">
        <v>0.61510169691419603</v>
      </c>
      <c r="AY10">
        <v>3.06933006583405E-2</v>
      </c>
      <c r="AZ10">
        <v>12.2838566187356</v>
      </c>
      <c r="BA10">
        <v>0.82310590222597801</v>
      </c>
      <c r="BB10">
        <v>2847.96</v>
      </c>
      <c r="BC10">
        <v>474.66</v>
      </c>
      <c r="BD10">
        <v>144.84387417334801</v>
      </c>
      <c r="BE10">
        <v>159.26688702085201</v>
      </c>
      <c r="BF10">
        <v>0.50286479158853303</v>
      </c>
      <c r="BG10">
        <v>5.0987777721037499E-2</v>
      </c>
      <c r="BH10">
        <v>14.075126079715901</v>
      </c>
      <c r="BI10">
        <v>1.0563792887318999</v>
      </c>
      <c r="BJ10">
        <v>278.81112023473997</v>
      </c>
      <c r="BK10">
        <v>308.61191870598702</v>
      </c>
      <c r="BL10">
        <v>0.66703669018906997</v>
      </c>
      <c r="BM10">
        <v>5.0827739717172901E-2</v>
      </c>
    </row>
    <row r="11" spans="1:65" x14ac:dyDescent="0.25">
      <c r="A11" t="s">
        <v>76</v>
      </c>
      <c r="B11">
        <v>40.776899999999998</v>
      </c>
      <c r="C11">
        <v>-2.3283</v>
      </c>
      <c r="D11" s="1" t="s">
        <v>83</v>
      </c>
      <c r="E11" t="s">
        <v>84</v>
      </c>
      <c r="F11" t="s">
        <v>49</v>
      </c>
      <c r="G11">
        <v>0.02</v>
      </c>
      <c r="H11">
        <v>51.940124803193498</v>
      </c>
      <c r="I11">
        <v>-6.63891459715175</v>
      </c>
      <c r="J11">
        <v>6</v>
      </c>
      <c r="K11">
        <v>38.700000000000003</v>
      </c>
      <c r="L11">
        <v>13.7</v>
      </c>
      <c r="M11">
        <v>1079</v>
      </c>
      <c r="N11">
        <v>11.539147033715199</v>
      </c>
      <c r="O11">
        <v>647.85536959654905</v>
      </c>
      <c r="P11" t="s">
        <v>59</v>
      </c>
      <c r="Q11" t="s">
        <v>60</v>
      </c>
      <c r="R11">
        <v>49</v>
      </c>
      <c r="T11">
        <v>2400</v>
      </c>
      <c r="U11">
        <v>1.0900000000000001</v>
      </c>
      <c r="V11" s="5">
        <v>41.4</v>
      </c>
      <c r="W11" s="5">
        <v>21.87</v>
      </c>
      <c r="X11" s="5">
        <v>36.729999999999997</v>
      </c>
      <c r="Y11" s="5">
        <v>2</v>
      </c>
      <c r="Z11" t="s">
        <v>79</v>
      </c>
      <c r="AA11" t="s">
        <v>80</v>
      </c>
      <c r="AB11">
        <v>20</v>
      </c>
      <c r="AC11">
        <v>15.914999999999999</v>
      </c>
      <c r="AE11" s="6">
        <v>0.91249999999999998</v>
      </c>
      <c r="AG11" s="6">
        <v>2.0019999999999998</v>
      </c>
      <c r="AI11" t="s">
        <v>85</v>
      </c>
      <c r="AJ11" t="s">
        <v>85</v>
      </c>
      <c r="AK11" t="s">
        <v>86</v>
      </c>
      <c r="AL11">
        <v>19.340206249619001</v>
      </c>
      <c r="AM11">
        <v>1.45094947958943</v>
      </c>
      <c r="AN11">
        <v>599.6</v>
      </c>
      <c r="AO11">
        <v>99.933333333333294</v>
      </c>
      <c r="AP11">
        <v>219.757691684268</v>
      </c>
      <c r="AQ11">
        <v>241.68161007554701</v>
      </c>
      <c r="AR11">
        <v>0.419315142690106</v>
      </c>
      <c r="AS11">
        <v>3.0531205851759401E-2</v>
      </c>
      <c r="AT11">
        <v>21.571678238428198</v>
      </c>
      <c r="AU11">
        <v>1.8219458569414999</v>
      </c>
      <c r="AV11">
        <v>417.08247441544501</v>
      </c>
      <c r="AW11">
        <v>462.882938462629</v>
      </c>
      <c r="AX11">
        <v>0.61510169691419603</v>
      </c>
      <c r="AY11">
        <v>3.06933006583405E-2</v>
      </c>
      <c r="AZ11">
        <v>12.2838566187356</v>
      </c>
      <c r="BA11">
        <v>0.82310590222597801</v>
      </c>
      <c r="BB11">
        <v>2847.96</v>
      </c>
      <c r="BC11">
        <v>474.66</v>
      </c>
      <c r="BD11">
        <v>144.84387417334801</v>
      </c>
      <c r="BE11">
        <v>159.26688702085201</v>
      </c>
      <c r="BF11">
        <v>0.50286479158853303</v>
      </c>
      <c r="BG11">
        <v>5.0987777721037499E-2</v>
      </c>
      <c r="BH11">
        <v>14.075126079715901</v>
      </c>
      <c r="BI11">
        <v>1.0563792887318999</v>
      </c>
      <c r="BJ11">
        <v>278.81112023473997</v>
      </c>
      <c r="BK11">
        <v>308.61191870598702</v>
      </c>
      <c r="BL11">
        <v>0.66703669018906997</v>
      </c>
      <c r="BM11">
        <v>5.0827739717172901E-2</v>
      </c>
    </row>
    <row r="12" spans="1:65" x14ac:dyDescent="0.25">
      <c r="A12" t="s">
        <v>76</v>
      </c>
      <c r="B12">
        <v>40.776899999999998</v>
      </c>
      <c r="C12">
        <v>-2.3283</v>
      </c>
      <c r="D12" s="1" t="s">
        <v>87</v>
      </c>
      <c r="E12" t="s">
        <v>88</v>
      </c>
      <c r="F12" t="s">
        <v>49</v>
      </c>
      <c r="G12">
        <v>2.3E-2</v>
      </c>
      <c r="H12">
        <v>56.820456501836802</v>
      </c>
      <c r="I12">
        <v>-6.0788509466206104</v>
      </c>
      <c r="J12">
        <v>4</v>
      </c>
      <c r="K12">
        <v>25.8</v>
      </c>
      <c r="L12">
        <v>13.7</v>
      </c>
      <c r="M12">
        <v>1079</v>
      </c>
      <c r="N12">
        <v>11.539147033715199</v>
      </c>
      <c r="O12">
        <v>647.85536959654905</v>
      </c>
      <c r="P12" t="s">
        <v>59</v>
      </c>
      <c r="Q12" t="s">
        <v>60</v>
      </c>
      <c r="R12">
        <v>49</v>
      </c>
      <c r="T12">
        <v>2400</v>
      </c>
      <c r="U12">
        <v>1.0900000000000001</v>
      </c>
      <c r="V12" s="5">
        <v>41.4</v>
      </c>
      <c r="W12" s="5">
        <v>21.87</v>
      </c>
      <c r="X12" s="5">
        <v>36.729999999999997</v>
      </c>
      <c r="Y12" s="5">
        <v>2</v>
      </c>
      <c r="Z12" t="s">
        <v>79</v>
      </c>
      <c r="AA12" t="s">
        <v>80</v>
      </c>
      <c r="AB12">
        <v>20</v>
      </c>
      <c r="AC12">
        <v>21.875</v>
      </c>
      <c r="AE12" s="6">
        <v>0.82</v>
      </c>
      <c r="AF12" s="6">
        <v>1</v>
      </c>
      <c r="AG12" s="6">
        <v>3.8</v>
      </c>
      <c r="AH12" s="6">
        <v>20</v>
      </c>
      <c r="AI12" t="s">
        <v>81</v>
      </c>
      <c r="AK12" t="s">
        <v>82</v>
      </c>
      <c r="AL12">
        <v>19.340206249619001</v>
      </c>
      <c r="AM12">
        <v>1.45094947958943</v>
      </c>
      <c r="AN12">
        <v>599.6</v>
      </c>
      <c r="AO12">
        <v>99.933333333333294</v>
      </c>
      <c r="AP12">
        <v>219.757691684268</v>
      </c>
      <c r="AQ12">
        <v>241.68161007554701</v>
      </c>
      <c r="AR12">
        <v>0.419315142690106</v>
      </c>
      <c r="AS12">
        <v>3.0531205851759401E-2</v>
      </c>
      <c r="AT12">
        <v>21.571678238428198</v>
      </c>
      <c r="AU12">
        <v>1.8219458569414999</v>
      </c>
      <c r="AV12">
        <v>417.08247441544501</v>
      </c>
      <c r="AW12">
        <v>462.882938462629</v>
      </c>
      <c r="AX12">
        <v>0.61510169691419603</v>
      </c>
      <c r="AY12">
        <v>3.06933006583405E-2</v>
      </c>
      <c r="AZ12">
        <v>12.2838566187356</v>
      </c>
      <c r="BA12">
        <v>0.82310590222597801</v>
      </c>
      <c r="BB12">
        <v>2847.96</v>
      </c>
      <c r="BC12">
        <v>474.66</v>
      </c>
      <c r="BD12">
        <v>144.84387417334801</v>
      </c>
      <c r="BE12">
        <v>159.26688702085201</v>
      </c>
      <c r="BF12">
        <v>0.50286479158853303</v>
      </c>
      <c r="BG12">
        <v>5.0987777721037499E-2</v>
      </c>
      <c r="BH12">
        <v>14.075126079715901</v>
      </c>
      <c r="BI12">
        <v>1.0563792887318999</v>
      </c>
      <c r="BJ12">
        <v>278.81112023473997</v>
      </c>
      <c r="BK12">
        <v>308.61191870598702</v>
      </c>
      <c r="BL12">
        <v>0.66703669018906997</v>
      </c>
      <c r="BM12">
        <v>5.0827739717172901E-2</v>
      </c>
    </row>
    <row r="13" spans="1:65" x14ac:dyDescent="0.25">
      <c r="A13" t="s">
        <v>89</v>
      </c>
      <c r="B13">
        <v>41.430988888900004</v>
      </c>
      <c r="C13">
        <v>2.0736111111111102</v>
      </c>
      <c r="D13" s="1" t="s">
        <v>90</v>
      </c>
      <c r="E13" t="s">
        <v>91</v>
      </c>
      <c r="F13" t="s">
        <v>49</v>
      </c>
      <c r="G13">
        <v>0.13800000000000001</v>
      </c>
      <c r="H13">
        <v>1.86358030279602</v>
      </c>
      <c r="I13">
        <v>-7.7116838710772406E-2</v>
      </c>
      <c r="J13">
        <v>4</v>
      </c>
      <c r="K13">
        <v>2.66</v>
      </c>
      <c r="L13">
        <v>22.6</v>
      </c>
      <c r="M13">
        <v>270</v>
      </c>
      <c r="N13">
        <v>15.377061805242001</v>
      </c>
      <c r="O13">
        <v>763.37990283884801</v>
      </c>
      <c r="P13" t="s">
        <v>92</v>
      </c>
      <c r="Q13" t="s">
        <v>60</v>
      </c>
      <c r="R13">
        <v>60</v>
      </c>
      <c r="S13">
        <v>10.8</v>
      </c>
      <c r="T13">
        <v>1429</v>
      </c>
      <c r="U13">
        <v>3.3</v>
      </c>
      <c r="V13" s="5">
        <v>28.77</v>
      </c>
      <c r="W13" s="5">
        <v>32.03</v>
      </c>
      <c r="X13" s="5">
        <v>39.200000000000003</v>
      </c>
      <c r="Y13" s="5">
        <v>2</v>
      </c>
      <c r="Z13" t="s">
        <v>61</v>
      </c>
      <c r="AA13" t="s">
        <v>93</v>
      </c>
      <c r="AB13">
        <v>15</v>
      </c>
      <c r="AC13">
        <v>15.824999999999999</v>
      </c>
      <c r="AD13">
        <v>197.04606075000001</v>
      </c>
      <c r="AE13" s="6">
        <v>0.59575299999999998</v>
      </c>
      <c r="AF13" s="6">
        <v>0.54014200000000001</v>
      </c>
      <c r="AG13" s="6">
        <v>3.09</v>
      </c>
      <c r="AH13" s="6">
        <v>10</v>
      </c>
      <c r="AI13">
        <v>41.216999999999999</v>
      </c>
      <c r="AJ13">
        <v>0.91669999999999996</v>
      </c>
      <c r="AK13" t="s">
        <v>94</v>
      </c>
      <c r="AL13">
        <v>21.236253637054201</v>
      </c>
      <c r="AM13">
        <v>0.94229880819286704</v>
      </c>
      <c r="AN13">
        <v>406.7</v>
      </c>
      <c r="AO13">
        <v>203.35</v>
      </c>
      <c r="AP13">
        <v>256.08065960038903</v>
      </c>
      <c r="AR13">
        <v>0.72208624190173099</v>
      </c>
      <c r="AS13">
        <v>0.13891413198027699</v>
      </c>
      <c r="AT13">
        <v>23.844479847494501</v>
      </c>
      <c r="AU13">
        <v>1.3980364923747199</v>
      </c>
      <c r="AV13">
        <v>502.62010403050101</v>
      </c>
      <c r="AX13">
        <v>1.05920690359477</v>
      </c>
      <c r="AY13">
        <v>0.138732802287581</v>
      </c>
      <c r="AZ13">
        <v>15.2048391606862</v>
      </c>
      <c r="BA13">
        <v>0.61324231641620097</v>
      </c>
      <c r="BB13">
        <v>1293.4000000000001</v>
      </c>
      <c r="BC13">
        <v>646.70000000000005</v>
      </c>
      <c r="BD13">
        <v>162.74453184101</v>
      </c>
      <c r="BF13">
        <v>0.74321601516466196</v>
      </c>
      <c r="BG13">
        <v>0.15712217861005001</v>
      </c>
      <c r="BH13">
        <v>17.179477682845999</v>
      </c>
      <c r="BI13">
        <v>0.88616963756335199</v>
      </c>
      <c r="BJ13">
        <v>325.233768654291</v>
      </c>
      <c r="BL13">
        <v>0.99605479639152705</v>
      </c>
      <c r="BM13">
        <v>0.15708366211032501</v>
      </c>
    </row>
    <row r="14" spans="1:65" x14ac:dyDescent="0.25">
      <c r="A14" t="s">
        <v>89</v>
      </c>
      <c r="B14">
        <v>41.430988888900004</v>
      </c>
      <c r="C14">
        <v>2.0736111111111102</v>
      </c>
      <c r="D14" s="1" t="s">
        <v>251</v>
      </c>
      <c r="E14" t="s">
        <v>252</v>
      </c>
      <c r="F14" t="s">
        <v>49</v>
      </c>
      <c r="G14">
        <v>0.16200000000000001</v>
      </c>
      <c r="H14">
        <v>5.4138980021228402</v>
      </c>
      <c r="I14">
        <v>0.71986406817258297</v>
      </c>
      <c r="J14">
        <v>3</v>
      </c>
      <c r="K14">
        <v>23</v>
      </c>
      <c r="L14">
        <v>22.6</v>
      </c>
      <c r="M14">
        <v>270</v>
      </c>
      <c r="N14">
        <v>15.377061805242001</v>
      </c>
      <c r="O14">
        <v>763.37990283884801</v>
      </c>
      <c r="P14" t="s">
        <v>92</v>
      </c>
      <c r="Q14" t="s">
        <v>60</v>
      </c>
      <c r="R14">
        <v>60</v>
      </c>
      <c r="S14">
        <v>10.8</v>
      </c>
      <c r="T14">
        <v>1429</v>
      </c>
      <c r="U14">
        <v>3.3</v>
      </c>
      <c r="V14" s="5">
        <v>28.77</v>
      </c>
      <c r="W14" s="5">
        <v>32.03</v>
      </c>
      <c r="X14" s="5">
        <v>39.200000000000003</v>
      </c>
      <c r="Y14" s="5">
        <v>2</v>
      </c>
      <c r="Z14" t="s">
        <v>61</v>
      </c>
      <c r="AA14" t="s">
        <v>93</v>
      </c>
      <c r="AB14">
        <v>15</v>
      </c>
      <c r="AC14">
        <v>33.299999999999997</v>
      </c>
      <c r="AD14">
        <v>870.92220599999996</v>
      </c>
      <c r="AE14" s="6">
        <v>0.53500000000000003</v>
      </c>
      <c r="AF14" s="6">
        <v>0.15</v>
      </c>
      <c r="AG14" s="6">
        <v>3.11</v>
      </c>
      <c r="AH14" s="6">
        <v>25</v>
      </c>
      <c r="AI14">
        <v>38.166699999999999</v>
      </c>
      <c r="AJ14">
        <v>-0.63329999999999997</v>
      </c>
      <c r="AK14" t="s">
        <v>253</v>
      </c>
      <c r="AL14">
        <v>21.236253637054201</v>
      </c>
      <c r="AM14">
        <v>0.94229880819286704</v>
      </c>
      <c r="AN14">
        <v>406.7</v>
      </c>
      <c r="AO14">
        <v>203.35</v>
      </c>
      <c r="AP14">
        <v>256.08065960038903</v>
      </c>
      <c r="AR14">
        <v>0.72208624190173099</v>
      </c>
      <c r="AS14">
        <v>0.13891413198027699</v>
      </c>
      <c r="AT14">
        <v>23.844479847494501</v>
      </c>
      <c r="AU14">
        <v>1.3980364923747199</v>
      </c>
      <c r="AV14">
        <v>502.62010403050101</v>
      </c>
      <c r="AX14">
        <v>1.05920690359477</v>
      </c>
      <c r="AY14">
        <v>0.138732802287581</v>
      </c>
      <c r="AZ14">
        <v>15.2048391606862</v>
      </c>
      <c r="BA14">
        <v>0.61324231641620097</v>
      </c>
      <c r="BB14">
        <v>1293.4000000000001</v>
      </c>
      <c r="BC14">
        <v>646.70000000000005</v>
      </c>
      <c r="BD14">
        <v>162.74453184101</v>
      </c>
      <c r="BF14">
        <v>0.74321601516466196</v>
      </c>
      <c r="BG14">
        <v>0.15712217861005001</v>
      </c>
      <c r="BH14">
        <v>17.179477682845999</v>
      </c>
      <c r="BI14">
        <v>0.88616963756335199</v>
      </c>
      <c r="BJ14">
        <v>325.233768654291</v>
      </c>
      <c r="BL14">
        <v>0.99605479639152705</v>
      </c>
      <c r="BM14">
        <v>0.15708366211032501</v>
      </c>
    </row>
    <row r="15" spans="1:65" x14ac:dyDescent="0.25">
      <c r="A15" t="s">
        <v>89</v>
      </c>
      <c r="B15">
        <v>41.430988888900004</v>
      </c>
      <c r="C15">
        <v>2.0736111111111102</v>
      </c>
      <c r="D15" s="1" t="s">
        <v>87</v>
      </c>
      <c r="E15" t="s">
        <v>88</v>
      </c>
      <c r="F15" t="s">
        <v>49</v>
      </c>
      <c r="G15">
        <v>0.153</v>
      </c>
      <c r="H15">
        <v>38.4852147345105</v>
      </c>
      <c r="I15">
        <v>-3.6886157041635701</v>
      </c>
      <c r="J15">
        <v>7</v>
      </c>
      <c r="K15">
        <v>65.930000000000007</v>
      </c>
      <c r="L15">
        <v>22.6</v>
      </c>
      <c r="M15">
        <v>270</v>
      </c>
      <c r="N15">
        <v>15.377061805242001</v>
      </c>
      <c r="O15">
        <v>763.37990283884801</v>
      </c>
      <c r="P15" t="s">
        <v>92</v>
      </c>
      <c r="Q15" t="s">
        <v>60</v>
      </c>
      <c r="R15">
        <v>60</v>
      </c>
      <c r="S15">
        <v>10.8</v>
      </c>
      <c r="T15">
        <v>1429</v>
      </c>
      <c r="U15">
        <v>3.3</v>
      </c>
      <c r="V15" s="5">
        <v>28.77</v>
      </c>
      <c r="W15" s="5">
        <v>32.03</v>
      </c>
      <c r="X15" s="5">
        <v>39.200000000000003</v>
      </c>
      <c r="Y15" s="5">
        <v>2</v>
      </c>
      <c r="Z15" t="s">
        <v>61</v>
      </c>
      <c r="AA15" t="s">
        <v>93</v>
      </c>
      <c r="AB15">
        <v>15</v>
      </c>
      <c r="AC15">
        <v>20.6</v>
      </c>
      <c r="AD15">
        <v>333.29234400000001</v>
      </c>
      <c r="AE15" s="6">
        <v>0.82</v>
      </c>
      <c r="AF15" s="6">
        <v>2.5339170000000002</v>
      </c>
      <c r="AG15" s="6">
        <v>2.02</v>
      </c>
      <c r="AH15" s="6">
        <v>20</v>
      </c>
      <c r="AI15">
        <v>41.216999999999999</v>
      </c>
      <c r="AJ15">
        <v>0.91669999999999996</v>
      </c>
      <c r="AK15" t="s">
        <v>95</v>
      </c>
      <c r="AL15">
        <v>21.236253637054201</v>
      </c>
      <c r="AM15">
        <v>0.94229880819286704</v>
      </c>
      <c r="AN15">
        <v>406.7</v>
      </c>
      <c r="AO15">
        <v>203.35</v>
      </c>
      <c r="AP15">
        <v>256.08065960038903</v>
      </c>
      <c r="AR15">
        <v>0.72208624190173099</v>
      </c>
      <c r="AS15">
        <v>0.13891413198027699</v>
      </c>
      <c r="AT15">
        <v>23.844479847494501</v>
      </c>
      <c r="AU15">
        <v>1.3980364923747199</v>
      </c>
      <c r="AV15">
        <v>502.62010403050101</v>
      </c>
      <c r="AX15">
        <v>1.05920690359477</v>
      </c>
      <c r="AY15">
        <v>0.138732802287581</v>
      </c>
      <c r="AZ15">
        <v>15.2048391606862</v>
      </c>
      <c r="BA15">
        <v>0.61324231641620097</v>
      </c>
      <c r="BB15">
        <v>1293.4000000000001</v>
      </c>
      <c r="BC15">
        <v>646.70000000000005</v>
      </c>
      <c r="BD15">
        <v>162.74453184101</v>
      </c>
      <c r="BF15">
        <v>0.74321601516466196</v>
      </c>
      <c r="BG15">
        <v>0.15712217861005001</v>
      </c>
      <c r="BH15">
        <v>17.179477682845999</v>
      </c>
      <c r="BI15">
        <v>0.88616963756335199</v>
      </c>
      <c r="BJ15">
        <v>325.233768654291</v>
      </c>
      <c r="BL15">
        <v>0.99605479639152705</v>
      </c>
      <c r="BM15">
        <v>0.15708366211032501</v>
      </c>
    </row>
    <row r="16" spans="1:65" x14ac:dyDescent="0.25">
      <c r="A16" t="s">
        <v>89</v>
      </c>
      <c r="B16">
        <v>41.430988888900004</v>
      </c>
      <c r="C16">
        <v>2.0736111111111102</v>
      </c>
      <c r="D16" s="1" t="s">
        <v>254</v>
      </c>
      <c r="E16" t="s">
        <v>255</v>
      </c>
      <c r="F16" t="s">
        <v>49</v>
      </c>
      <c r="G16">
        <v>0.14099999999999999</v>
      </c>
      <c r="H16">
        <v>7.1699428255722299</v>
      </c>
      <c r="I16">
        <v>0.214703289159519</v>
      </c>
      <c r="J16">
        <v>7</v>
      </c>
      <c r="K16">
        <v>8.41</v>
      </c>
      <c r="L16">
        <v>22.6</v>
      </c>
      <c r="M16">
        <v>270</v>
      </c>
      <c r="N16">
        <v>15.377061805242001</v>
      </c>
      <c r="O16">
        <v>763.37990283884801</v>
      </c>
      <c r="P16" t="s">
        <v>92</v>
      </c>
      <c r="Q16" t="s">
        <v>60</v>
      </c>
      <c r="R16">
        <v>60</v>
      </c>
      <c r="S16">
        <v>10.8</v>
      </c>
      <c r="T16">
        <v>1429</v>
      </c>
      <c r="U16">
        <v>3.3</v>
      </c>
      <c r="V16" s="5">
        <v>28.77</v>
      </c>
      <c r="W16" s="5">
        <v>32.03</v>
      </c>
      <c r="X16" s="5">
        <v>39.200000000000003</v>
      </c>
      <c r="Y16" s="5">
        <v>2</v>
      </c>
      <c r="Z16" t="s">
        <v>61</v>
      </c>
      <c r="AA16" t="s">
        <v>93</v>
      </c>
      <c r="AB16">
        <v>15</v>
      </c>
      <c r="AC16">
        <v>14.3</v>
      </c>
      <c r="AD16">
        <v>160.60644600000001</v>
      </c>
      <c r="AE16" s="6">
        <v>0.55000000000000004</v>
      </c>
      <c r="AF16" s="6">
        <v>2.2000000000000002</v>
      </c>
      <c r="AG16" s="6">
        <v>2.2000000000000002</v>
      </c>
      <c r="AH16" s="6">
        <v>20</v>
      </c>
      <c r="AI16" t="s">
        <v>81</v>
      </c>
      <c r="AK16" t="s">
        <v>82</v>
      </c>
      <c r="AL16">
        <v>21.236253637054201</v>
      </c>
      <c r="AM16">
        <v>0.94229880819286704</v>
      </c>
      <c r="AN16">
        <v>406.7</v>
      </c>
      <c r="AO16">
        <v>203.35</v>
      </c>
      <c r="AP16">
        <v>256.08065960038903</v>
      </c>
      <c r="AR16">
        <v>0.72208624190173099</v>
      </c>
      <c r="AS16">
        <v>0.13891413198027699</v>
      </c>
      <c r="AT16">
        <v>23.844479847494501</v>
      </c>
      <c r="AU16">
        <v>1.3980364923747199</v>
      </c>
      <c r="AV16">
        <v>502.62010403050101</v>
      </c>
      <c r="AX16">
        <v>1.05920690359477</v>
      </c>
      <c r="AY16">
        <v>0.138732802287581</v>
      </c>
      <c r="AZ16">
        <v>15.2048391606862</v>
      </c>
      <c r="BA16">
        <v>0.61324231641620097</v>
      </c>
      <c r="BB16">
        <v>1293.4000000000001</v>
      </c>
      <c r="BC16">
        <v>646.70000000000005</v>
      </c>
      <c r="BD16">
        <v>162.74453184101</v>
      </c>
      <c r="BF16">
        <v>0.74321601516466196</v>
      </c>
      <c r="BG16">
        <v>0.15712217861005001</v>
      </c>
      <c r="BH16">
        <v>17.179477682845999</v>
      </c>
      <c r="BI16">
        <v>0.88616963756335199</v>
      </c>
      <c r="BJ16">
        <v>325.233768654291</v>
      </c>
      <c r="BL16">
        <v>0.99605479639152705</v>
      </c>
      <c r="BM16">
        <v>0.15708366211032501</v>
      </c>
    </row>
    <row r="17" spans="1:65" x14ac:dyDescent="0.25">
      <c r="A17" t="s">
        <v>96</v>
      </c>
      <c r="B17">
        <v>41.332629949999998</v>
      </c>
      <c r="C17">
        <v>1.0144287999999999</v>
      </c>
      <c r="D17" s="1" t="s">
        <v>97</v>
      </c>
      <c r="E17" t="s">
        <v>98</v>
      </c>
      <c r="F17" t="s">
        <v>49</v>
      </c>
      <c r="G17">
        <v>0.19400000000000001</v>
      </c>
      <c r="H17">
        <v>4.1740316602661904</v>
      </c>
      <c r="I17">
        <v>-0.91920419659229402</v>
      </c>
      <c r="J17">
        <v>22</v>
      </c>
      <c r="K17">
        <v>46.15</v>
      </c>
      <c r="L17">
        <v>51.55</v>
      </c>
      <c r="M17">
        <v>1018</v>
      </c>
      <c r="N17">
        <v>10.4835464373121</v>
      </c>
      <c r="O17">
        <v>651.27472749108904</v>
      </c>
      <c r="P17" t="s">
        <v>59</v>
      </c>
      <c r="Q17" t="s">
        <v>60</v>
      </c>
      <c r="R17">
        <v>100</v>
      </c>
      <c r="S17">
        <v>14.2</v>
      </c>
      <c r="T17">
        <v>3412</v>
      </c>
      <c r="U17">
        <v>3.27</v>
      </c>
      <c r="V17" s="5">
        <v>60</v>
      </c>
      <c r="W17" s="5">
        <v>20</v>
      </c>
      <c r="X17" s="5">
        <v>20</v>
      </c>
      <c r="Y17" s="5">
        <v>1</v>
      </c>
      <c r="AA17" t="s">
        <v>72</v>
      </c>
      <c r="AB17">
        <v>15</v>
      </c>
      <c r="AC17">
        <v>40.950000000000003</v>
      </c>
      <c r="AD17">
        <v>451.96499999999997</v>
      </c>
      <c r="AE17" s="6">
        <v>0.46600000000000003</v>
      </c>
      <c r="AF17" s="6">
        <v>0.35</v>
      </c>
      <c r="AG17" s="6">
        <v>3.47</v>
      </c>
      <c r="AH17" s="6">
        <v>45</v>
      </c>
      <c r="AI17">
        <v>41.332999999999998</v>
      </c>
      <c r="AJ17">
        <v>1.0129999999999999</v>
      </c>
      <c r="AK17" t="s">
        <v>99</v>
      </c>
      <c r="AL17">
        <v>17.404375255507901</v>
      </c>
      <c r="AM17">
        <v>0.85317410118044901</v>
      </c>
      <c r="AN17">
        <v>616.9</v>
      </c>
      <c r="AO17">
        <v>154.22499999999999</v>
      </c>
      <c r="AP17">
        <v>254.36785961950301</v>
      </c>
      <c r="AR17">
        <v>2.25438575384513</v>
      </c>
      <c r="AS17">
        <v>0.159588222726948</v>
      </c>
      <c r="AT17">
        <v>18.753676483795001</v>
      </c>
      <c r="AU17">
        <v>0.98138562023088305</v>
      </c>
      <c r="AV17">
        <v>498.87253223776702</v>
      </c>
      <c r="AX17">
        <v>1.9025751662770001</v>
      </c>
      <c r="AY17">
        <v>0.159499328105974</v>
      </c>
      <c r="AZ17">
        <v>12.150369430925201</v>
      </c>
      <c r="BA17">
        <v>0.58255037492376605</v>
      </c>
      <c r="BB17">
        <v>1874.4</v>
      </c>
      <c r="BC17">
        <v>468.6</v>
      </c>
      <c r="BD17">
        <v>175.99353611934399</v>
      </c>
      <c r="BF17">
        <v>2.39099622100139</v>
      </c>
      <c r="BG17">
        <v>0.19050980821932401</v>
      </c>
      <c r="BH17">
        <v>13.1169802133301</v>
      </c>
      <c r="BI17">
        <v>0.65964022113075005</v>
      </c>
      <c r="BJ17">
        <v>348.99911762068399</v>
      </c>
      <c r="BL17">
        <v>2.1090648549775</v>
      </c>
      <c r="BM17">
        <v>0.190642822365993</v>
      </c>
    </row>
    <row r="18" spans="1:65" x14ac:dyDescent="0.25">
      <c r="A18" t="s">
        <v>96</v>
      </c>
      <c r="B18">
        <v>41.332629949999998</v>
      </c>
      <c r="C18">
        <v>1.0144287999999999</v>
      </c>
      <c r="D18" s="1" t="s">
        <v>87</v>
      </c>
      <c r="E18" t="s">
        <v>88</v>
      </c>
      <c r="F18" t="s">
        <v>49</v>
      </c>
      <c r="G18">
        <v>0.17399999999999999</v>
      </c>
      <c r="H18">
        <v>12.9465508448662</v>
      </c>
      <c r="I18">
        <v>-7.19360841722205</v>
      </c>
      <c r="J18">
        <v>10</v>
      </c>
      <c r="K18">
        <v>48.23</v>
      </c>
      <c r="L18">
        <v>51.55</v>
      </c>
      <c r="M18">
        <v>1018</v>
      </c>
      <c r="N18">
        <v>10.4835464373121</v>
      </c>
      <c r="O18">
        <v>651.27472749108904</v>
      </c>
      <c r="P18" t="s">
        <v>59</v>
      </c>
      <c r="Q18" t="s">
        <v>60</v>
      </c>
      <c r="R18">
        <v>100</v>
      </c>
      <c r="S18">
        <v>14.2</v>
      </c>
      <c r="T18">
        <v>3412</v>
      </c>
      <c r="U18">
        <v>3.27</v>
      </c>
      <c r="V18" s="5">
        <v>60</v>
      </c>
      <c r="W18" s="5">
        <v>20</v>
      </c>
      <c r="X18" s="5">
        <v>20</v>
      </c>
      <c r="Y18" s="5">
        <v>1</v>
      </c>
      <c r="AA18" t="s">
        <v>72</v>
      </c>
      <c r="AB18">
        <v>15</v>
      </c>
      <c r="AC18">
        <v>15.25</v>
      </c>
      <c r="AD18">
        <v>128.315</v>
      </c>
      <c r="AE18" s="6">
        <v>0.82</v>
      </c>
      <c r="AF18" s="6">
        <v>2.5339170000000002</v>
      </c>
      <c r="AG18" s="6">
        <v>2.02</v>
      </c>
      <c r="AH18" s="6">
        <v>20</v>
      </c>
      <c r="AI18">
        <v>41.216999999999999</v>
      </c>
      <c r="AJ18">
        <v>0.91669999999999996</v>
      </c>
      <c r="AK18" t="s">
        <v>95</v>
      </c>
      <c r="AL18">
        <v>17.404375255507901</v>
      </c>
      <c r="AM18">
        <v>0.85317410118044901</v>
      </c>
      <c r="AN18">
        <v>616.9</v>
      </c>
      <c r="AO18">
        <v>154.22499999999999</v>
      </c>
      <c r="AP18">
        <v>254.36785961950301</v>
      </c>
      <c r="AR18">
        <v>2.25438575384513</v>
      </c>
      <c r="AS18">
        <v>0.159588222726948</v>
      </c>
      <c r="AT18">
        <v>18.753676483795001</v>
      </c>
      <c r="AU18">
        <v>0.98138562023088305</v>
      </c>
      <c r="AV18">
        <v>498.87253223776702</v>
      </c>
      <c r="AX18">
        <v>1.9025751662770001</v>
      </c>
      <c r="AY18">
        <v>0.159499328105974</v>
      </c>
      <c r="AZ18">
        <v>12.150369430925201</v>
      </c>
      <c r="BA18">
        <v>0.58255037492376605</v>
      </c>
      <c r="BB18">
        <v>1874.4</v>
      </c>
      <c r="BC18">
        <v>468.6</v>
      </c>
      <c r="BD18">
        <v>175.99353611934399</v>
      </c>
      <c r="BF18">
        <v>2.39099622100139</v>
      </c>
      <c r="BG18">
        <v>0.19050980821932401</v>
      </c>
      <c r="BH18">
        <v>13.1169802133301</v>
      </c>
      <c r="BI18">
        <v>0.65964022113075005</v>
      </c>
      <c r="BJ18">
        <v>348.99911762068399</v>
      </c>
      <c r="BL18">
        <v>2.1090648549775</v>
      </c>
      <c r="BM18">
        <v>0.190642822365993</v>
      </c>
    </row>
    <row r="19" spans="1:65" x14ac:dyDescent="0.25">
      <c r="A19" t="s">
        <v>100</v>
      </c>
      <c r="B19">
        <v>41.332624160000002</v>
      </c>
      <c r="C19">
        <v>1.01409989</v>
      </c>
      <c r="D19" s="1" t="s">
        <v>87</v>
      </c>
      <c r="E19" t="s">
        <v>88</v>
      </c>
      <c r="F19" t="s">
        <v>49</v>
      </c>
      <c r="G19">
        <v>0.17399999999999999</v>
      </c>
      <c r="H19">
        <v>40.975975375198999</v>
      </c>
      <c r="I19">
        <v>-11.837044114077401</v>
      </c>
      <c r="J19">
        <v>10</v>
      </c>
      <c r="K19">
        <v>91.2</v>
      </c>
      <c r="L19">
        <v>44.55</v>
      </c>
      <c r="M19">
        <v>1011</v>
      </c>
      <c r="N19">
        <v>10.4951943694421</v>
      </c>
      <c r="O19">
        <v>651.30321429118203</v>
      </c>
      <c r="P19" t="s">
        <v>92</v>
      </c>
      <c r="Q19" t="s">
        <v>60</v>
      </c>
      <c r="R19">
        <v>70</v>
      </c>
      <c r="S19">
        <v>5</v>
      </c>
      <c r="T19">
        <v>5414</v>
      </c>
      <c r="U19">
        <v>4.59</v>
      </c>
      <c r="V19" s="5">
        <v>60</v>
      </c>
      <c r="W19" s="5">
        <v>20</v>
      </c>
      <c r="X19" s="5">
        <v>20</v>
      </c>
      <c r="Y19" s="5">
        <v>1</v>
      </c>
      <c r="AA19" t="s">
        <v>72</v>
      </c>
      <c r="AB19">
        <v>30</v>
      </c>
      <c r="AC19">
        <v>12.5</v>
      </c>
      <c r="AD19">
        <v>93.079107140549993</v>
      </c>
      <c r="AE19" s="6">
        <v>0.82</v>
      </c>
      <c r="AF19" s="6">
        <v>2.5339170000000002</v>
      </c>
      <c r="AG19" s="6">
        <v>2.02</v>
      </c>
      <c r="AH19" s="6">
        <v>20</v>
      </c>
      <c r="AI19">
        <v>41.216999999999999</v>
      </c>
      <c r="AJ19">
        <v>0.91669999999999996</v>
      </c>
      <c r="AK19" t="s">
        <v>95</v>
      </c>
      <c r="AL19">
        <v>17.379700765126302</v>
      </c>
      <c r="AM19">
        <v>0.81537719655660401</v>
      </c>
      <c r="AN19">
        <v>270.3</v>
      </c>
      <c r="AO19">
        <v>135.15</v>
      </c>
      <c r="AP19">
        <v>252.97610190267699</v>
      </c>
      <c r="AR19">
        <v>2.33228830423531</v>
      </c>
      <c r="AS19">
        <v>0.15439937580621799</v>
      </c>
      <c r="AT19">
        <v>19.0926470259834</v>
      </c>
      <c r="AU19">
        <v>0.98854835322781798</v>
      </c>
      <c r="AV19">
        <v>499.14323855304701</v>
      </c>
      <c r="AX19">
        <v>1.94783835941547</v>
      </c>
      <c r="AY19">
        <v>0.15407620724170601</v>
      </c>
      <c r="AZ19">
        <v>12.5162460427846</v>
      </c>
      <c r="BA19">
        <v>0.56982902004062597</v>
      </c>
      <c r="BB19">
        <v>796.7</v>
      </c>
      <c r="BC19">
        <v>398.35</v>
      </c>
      <c r="BD19">
        <v>175.18568267005</v>
      </c>
      <c r="BF19">
        <v>2.3748645099825798</v>
      </c>
      <c r="BG19">
        <v>0.15821888426846101</v>
      </c>
      <c r="BH19">
        <v>13.716959282273899</v>
      </c>
      <c r="BI19">
        <v>0.67288320641592403</v>
      </c>
      <c r="BJ19">
        <v>349.72521598313801</v>
      </c>
      <c r="BL19">
        <v>2.0518051944025202</v>
      </c>
      <c r="BM19">
        <v>0.15813534384792399</v>
      </c>
    </row>
    <row r="20" spans="1:65" x14ac:dyDescent="0.25">
      <c r="A20" t="s">
        <v>101</v>
      </c>
      <c r="B20">
        <v>41.328113000000002</v>
      </c>
      <c r="C20">
        <v>1.006642</v>
      </c>
      <c r="D20" s="1" t="s">
        <v>97</v>
      </c>
      <c r="E20" t="s">
        <v>98</v>
      </c>
      <c r="F20" t="s">
        <v>49</v>
      </c>
      <c r="G20">
        <v>0.26100000000000001</v>
      </c>
      <c r="H20">
        <v>10.871275720061799</v>
      </c>
      <c r="I20">
        <v>-2.5963561029753901</v>
      </c>
      <c r="J20">
        <v>9</v>
      </c>
      <c r="K20">
        <v>94.05</v>
      </c>
      <c r="L20">
        <v>44.39</v>
      </c>
      <c r="M20">
        <v>1065</v>
      </c>
      <c r="N20">
        <v>10.0871200621171</v>
      </c>
      <c r="O20">
        <v>674.24223568972798</v>
      </c>
      <c r="P20" t="s">
        <v>50</v>
      </c>
      <c r="Q20" t="s">
        <v>60</v>
      </c>
      <c r="R20">
        <v>100</v>
      </c>
      <c r="S20">
        <v>18.3</v>
      </c>
      <c r="T20">
        <v>1039</v>
      </c>
      <c r="U20">
        <v>1.02</v>
      </c>
      <c r="V20" s="5">
        <v>60</v>
      </c>
      <c r="W20" s="5">
        <v>20</v>
      </c>
      <c r="X20" s="5">
        <v>20</v>
      </c>
      <c r="Y20" s="5">
        <v>1</v>
      </c>
      <c r="AA20" t="s">
        <v>72</v>
      </c>
      <c r="AB20">
        <v>15</v>
      </c>
      <c r="AC20">
        <v>38.299999999999997</v>
      </c>
      <c r="AD20">
        <v>645.6</v>
      </c>
      <c r="AE20" s="6">
        <v>0.46600000000000003</v>
      </c>
      <c r="AF20" s="6">
        <v>0.35</v>
      </c>
      <c r="AG20" s="6">
        <v>3.47</v>
      </c>
      <c r="AH20" s="6">
        <v>45</v>
      </c>
      <c r="AI20">
        <v>41.332999999999998</v>
      </c>
      <c r="AJ20">
        <v>1.0129999999999999</v>
      </c>
      <c r="AK20" t="s">
        <v>99</v>
      </c>
      <c r="AL20">
        <v>17.321227573666199</v>
      </c>
      <c r="AM20">
        <v>0.83324860212542595</v>
      </c>
      <c r="AN20">
        <v>344.9</v>
      </c>
      <c r="AO20">
        <v>172.45</v>
      </c>
      <c r="AP20">
        <v>251.47434642101001</v>
      </c>
      <c r="AR20">
        <v>2.3083330093484098</v>
      </c>
      <c r="AS20">
        <v>0.24068290344357099</v>
      </c>
      <c r="AT20">
        <v>18.741812622633699</v>
      </c>
      <c r="AU20">
        <v>0.97337597071429705</v>
      </c>
      <c r="AV20">
        <v>493.38727916531298</v>
      </c>
      <c r="AX20">
        <v>1.9423361559610099</v>
      </c>
      <c r="AY20">
        <v>0.24024733297481199</v>
      </c>
      <c r="AZ20">
        <v>12.5026369855791</v>
      </c>
      <c r="BA20">
        <v>0.58163796508972099</v>
      </c>
      <c r="BB20">
        <v>871.3</v>
      </c>
      <c r="BC20">
        <v>435.65</v>
      </c>
      <c r="BD20">
        <v>174.54268240928701</v>
      </c>
      <c r="BF20">
        <v>2.35035251888764</v>
      </c>
      <c r="BG20">
        <v>0.28640127237576202</v>
      </c>
      <c r="BH20">
        <v>13.5095659965127</v>
      </c>
      <c r="BI20">
        <v>0.664277185429342</v>
      </c>
      <c r="BJ20">
        <v>346.47109340200802</v>
      </c>
      <c r="BL20">
        <v>2.04562398289282</v>
      </c>
      <c r="BM20">
        <v>0.28566604588098299</v>
      </c>
    </row>
    <row r="21" spans="1:65" x14ac:dyDescent="0.25">
      <c r="A21" t="s">
        <v>102</v>
      </c>
      <c r="B21">
        <v>42.196052780000002</v>
      </c>
      <c r="C21">
        <v>1.8135611</v>
      </c>
      <c r="D21" s="1" t="s">
        <v>97</v>
      </c>
      <c r="E21" t="s">
        <v>98</v>
      </c>
      <c r="F21" t="s">
        <v>49</v>
      </c>
      <c r="G21">
        <v>0.17699999999999999</v>
      </c>
      <c r="H21">
        <v>36.539612863053698</v>
      </c>
      <c r="I21">
        <v>-4.6081345143069896</v>
      </c>
      <c r="J21">
        <v>13</v>
      </c>
      <c r="K21">
        <v>100</v>
      </c>
      <c r="L21">
        <v>44.7</v>
      </c>
      <c r="M21">
        <v>1257</v>
      </c>
      <c r="N21">
        <v>8.5036770640138499</v>
      </c>
      <c r="O21">
        <v>622.89613756573999</v>
      </c>
      <c r="P21" t="s">
        <v>50</v>
      </c>
      <c r="Q21" t="s">
        <v>60</v>
      </c>
      <c r="R21">
        <v>50</v>
      </c>
      <c r="S21">
        <v>11</v>
      </c>
      <c r="T21">
        <v>2165</v>
      </c>
      <c r="U21">
        <v>2.4</v>
      </c>
      <c r="V21" s="5">
        <v>60</v>
      </c>
      <c r="W21" s="5">
        <v>20</v>
      </c>
      <c r="X21" s="5">
        <v>20</v>
      </c>
      <c r="Y21" s="5">
        <v>1</v>
      </c>
      <c r="Z21" t="s">
        <v>61</v>
      </c>
      <c r="AA21" t="s">
        <v>72</v>
      </c>
      <c r="AB21">
        <v>15</v>
      </c>
      <c r="AC21">
        <v>17.95</v>
      </c>
      <c r="AD21">
        <v>209.0730383721</v>
      </c>
      <c r="AE21" s="6">
        <v>0.503</v>
      </c>
      <c r="AF21" s="6">
        <v>0.5</v>
      </c>
      <c r="AG21" s="6">
        <v>3.59</v>
      </c>
      <c r="AH21" s="6">
        <v>45</v>
      </c>
      <c r="AI21">
        <v>42.2</v>
      </c>
      <c r="AJ21">
        <v>1.8169999999999999</v>
      </c>
      <c r="AK21" t="s">
        <v>99</v>
      </c>
      <c r="AL21">
        <v>17.544700938616501</v>
      </c>
      <c r="AM21">
        <v>0.751824146902906</v>
      </c>
      <c r="AN21">
        <v>897.871749999999</v>
      </c>
      <c r="AO21">
        <v>299.29058333333302</v>
      </c>
      <c r="AP21">
        <v>254.55143617781701</v>
      </c>
      <c r="AQ21">
        <v>313.38670845571397</v>
      </c>
      <c r="AR21">
        <v>1.91085359021682</v>
      </c>
      <c r="AS21">
        <v>0.19451927725733001</v>
      </c>
      <c r="AT21">
        <v>19.651663383392201</v>
      </c>
      <c r="AU21">
        <v>0.95497402809665599</v>
      </c>
      <c r="AV21">
        <v>463.93969815431501</v>
      </c>
      <c r="AW21">
        <v>319.78940400111998</v>
      </c>
      <c r="AX21">
        <v>2.8392716898147201</v>
      </c>
      <c r="AY21">
        <v>0.19308815628824</v>
      </c>
      <c r="AZ21">
        <v>11.4987875806546</v>
      </c>
      <c r="BA21">
        <v>0.55653274957888899</v>
      </c>
      <c r="BB21">
        <v>1731.9589999999901</v>
      </c>
      <c r="BC21">
        <v>577.31966666666597</v>
      </c>
      <c r="BD21">
        <v>207.128022268059</v>
      </c>
      <c r="BE21">
        <v>250.68182467658701</v>
      </c>
      <c r="BF21">
        <v>1.77304055469767</v>
      </c>
      <c r="BG21">
        <v>0.21465463702269499</v>
      </c>
      <c r="BH21">
        <v>13.983241765590201</v>
      </c>
      <c r="BI21">
        <v>0.70461211996406603</v>
      </c>
      <c r="BJ21">
        <v>357.59284598815901</v>
      </c>
      <c r="BK21">
        <v>257.51055089049498</v>
      </c>
      <c r="BL21">
        <v>2.4115328984619602</v>
      </c>
      <c r="BM21">
        <v>0.22879981640519101</v>
      </c>
    </row>
    <row r="22" spans="1:65" x14ac:dyDescent="0.25">
      <c r="A22" t="s">
        <v>103</v>
      </c>
      <c r="B22">
        <v>43.7413888888888</v>
      </c>
      <c r="C22">
        <v>3.5958333333333301</v>
      </c>
      <c r="D22" s="1" t="s">
        <v>87</v>
      </c>
      <c r="E22" t="s">
        <v>88</v>
      </c>
      <c r="F22" t="s">
        <v>49</v>
      </c>
      <c r="G22">
        <v>0.14599999999999999</v>
      </c>
      <c r="H22">
        <v>33.680467393927799</v>
      </c>
      <c r="I22">
        <v>-13.2069156882641</v>
      </c>
      <c r="J22">
        <v>12</v>
      </c>
      <c r="K22">
        <v>95</v>
      </c>
      <c r="L22">
        <v>28.1</v>
      </c>
      <c r="M22">
        <v>270</v>
      </c>
      <c r="N22">
        <v>13.796654344063001</v>
      </c>
      <c r="O22">
        <v>1022.97428065696</v>
      </c>
      <c r="P22" t="s">
        <v>92</v>
      </c>
      <c r="Q22" t="s">
        <v>60</v>
      </c>
      <c r="R22">
        <v>58</v>
      </c>
      <c r="S22">
        <v>5</v>
      </c>
      <c r="T22">
        <v>7149</v>
      </c>
      <c r="U22">
        <v>2.4</v>
      </c>
      <c r="V22" s="5">
        <v>26</v>
      </c>
      <c r="W22" s="5">
        <v>39</v>
      </c>
      <c r="X22" s="5">
        <v>35</v>
      </c>
      <c r="Y22" s="5">
        <v>1</v>
      </c>
      <c r="Z22" t="s">
        <v>79</v>
      </c>
      <c r="AA22" t="s">
        <v>104</v>
      </c>
      <c r="AB22">
        <v>30</v>
      </c>
      <c r="AC22">
        <v>9.1999999999999993</v>
      </c>
      <c r="AD22">
        <v>42.76</v>
      </c>
      <c r="AE22" s="6">
        <v>0.84</v>
      </c>
      <c r="AF22" s="6">
        <v>1.86</v>
      </c>
      <c r="AG22" s="6">
        <v>3.88</v>
      </c>
      <c r="AH22" s="6">
        <v>20</v>
      </c>
      <c r="AI22">
        <v>43.73</v>
      </c>
      <c r="AJ22">
        <v>3.58</v>
      </c>
      <c r="AK22" t="s">
        <v>105</v>
      </c>
      <c r="AL22">
        <v>19.4446158248386</v>
      </c>
      <c r="AM22">
        <v>1.0550547343199901</v>
      </c>
      <c r="AN22">
        <v>3942.49</v>
      </c>
      <c r="AO22">
        <v>246.40562499999999</v>
      </c>
      <c r="AP22">
        <v>277.30817452774698</v>
      </c>
      <c r="AQ22">
        <v>337.89543126119298</v>
      </c>
      <c r="AR22">
        <v>2.0232437721346899</v>
      </c>
      <c r="AS22">
        <v>0.13642965436264901</v>
      </c>
      <c r="AT22">
        <v>22.745097983698699</v>
      </c>
      <c r="AU22">
        <v>1.53762464366843</v>
      </c>
      <c r="AV22">
        <v>518.76936954560995</v>
      </c>
      <c r="AW22">
        <v>358.291306484416</v>
      </c>
      <c r="AX22">
        <v>2.5577188422639701</v>
      </c>
      <c r="AY22">
        <v>0.13546770729055799</v>
      </c>
      <c r="AZ22">
        <v>12.8186648290371</v>
      </c>
      <c r="BA22">
        <v>0.635453840314815</v>
      </c>
      <c r="BB22">
        <v>12360.82</v>
      </c>
      <c r="BC22">
        <v>772.55124999999998</v>
      </c>
      <c r="BD22">
        <v>196.743686634536</v>
      </c>
      <c r="BE22">
        <v>246.18279510604199</v>
      </c>
      <c r="BF22">
        <v>2.0378744836034102</v>
      </c>
      <c r="BG22">
        <v>0.169652218356284</v>
      </c>
      <c r="BH22">
        <v>15.455019157158601</v>
      </c>
      <c r="BI22">
        <v>0.919766395592712</v>
      </c>
      <c r="BJ22">
        <v>363.32665129020398</v>
      </c>
      <c r="BK22">
        <v>255.77417086124399</v>
      </c>
      <c r="BL22">
        <v>2.4440968407098298</v>
      </c>
      <c r="BM22">
        <v>0.16930399591393</v>
      </c>
    </row>
    <row r="23" spans="1:65" x14ac:dyDescent="0.25">
      <c r="A23" t="s">
        <v>106</v>
      </c>
      <c r="B23">
        <v>56.616</v>
      </c>
      <c r="C23">
        <v>-3.8</v>
      </c>
      <c r="D23" s="1" t="s">
        <v>107</v>
      </c>
      <c r="E23" t="s">
        <v>288</v>
      </c>
      <c r="F23" t="s">
        <v>49</v>
      </c>
      <c r="G23">
        <v>0.45700000000000002</v>
      </c>
      <c r="H23">
        <v>19.307736935992502</v>
      </c>
      <c r="I23">
        <v>-28.222867780629901</v>
      </c>
      <c r="J23">
        <v>9</v>
      </c>
      <c r="K23">
        <v>100</v>
      </c>
      <c r="L23">
        <v>32</v>
      </c>
      <c r="M23">
        <v>340</v>
      </c>
      <c r="N23">
        <v>7.3177550121489503</v>
      </c>
      <c r="O23">
        <v>971.22896457700995</v>
      </c>
      <c r="P23" t="s">
        <v>50</v>
      </c>
      <c r="Q23" t="s">
        <v>51</v>
      </c>
      <c r="R23">
        <v>20</v>
      </c>
      <c r="S23">
        <v>10</v>
      </c>
      <c r="T23">
        <v>2200</v>
      </c>
      <c r="U23">
        <v>6</v>
      </c>
      <c r="V23" s="5">
        <v>60</v>
      </c>
      <c r="W23" s="5">
        <v>10</v>
      </c>
      <c r="X23" s="5">
        <v>30</v>
      </c>
      <c r="Y23" s="5">
        <v>1</v>
      </c>
      <c r="Z23" t="s">
        <v>52</v>
      </c>
      <c r="AA23" t="s">
        <v>62</v>
      </c>
      <c r="AB23">
        <v>30</v>
      </c>
      <c r="AC23">
        <v>13.85</v>
      </c>
      <c r="AD23">
        <v>150.66</v>
      </c>
      <c r="AL23">
        <v>10.1620486485121</v>
      </c>
      <c r="AM23">
        <v>0.30974374784150399</v>
      </c>
      <c r="AN23">
        <v>209.15780000000001</v>
      </c>
      <c r="AO23">
        <v>209.15780000000001</v>
      </c>
      <c r="AP23">
        <v>228.293996240089</v>
      </c>
      <c r="AS23">
        <v>0.36648346438482798</v>
      </c>
      <c r="AT23">
        <v>11.931118329710101</v>
      </c>
      <c r="AU23">
        <v>0.45839431884057902</v>
      </c>
      <c r="AV23">
        <v>369.09406281159397</v>
      </c>
      <c r="AY23">
        <v>0.36556159420289802</v>
      </c>
      <c r="AZ23">
        <v>9.7007488274850093</v>
      </c>
      <c r="BA23">
        <v>0.29511832171917002</v>
      </c>
      <c r="BB23">
        <v>256.20087000000001</v>
      </c>
      <c r="BC23">
        <v>256.20087000000001</v>
      </c>
      <c r="BD23">
        <v>220.46328046517399</v>
      </c>
      <c r="BG23">
        <v>0.380149987629886</v>
      </c>
      <c r="BH23">
        <v>11.4827068977864</v>
      </c>
      <c r="BI23">
        <v>0.44076791341145799</v>
      </c>
      <c r="BJ23">
        <v>358.40949181640599</v>
      </c>
      <c r="BM23">
        <v>0.37849283854166599</v>
      </c>
    </row>
    <row r="24" spans="1:65" x14ac:dyDescent="0.25">
      <c r="A24" t="s">
        <v>302</v>
      </c>
      <c r="B24">
        <v>56.033329999999999</v>
      </c>
      <c r="C24">
        <v>-3.7166670000000002</v>
      </c>
      <c r="D24" s="1" t="s">
        <v>97</v>
      </c>
      <c r="E24" t="s">
        <v>287</v>
      </c>
      <c r="F24" t="s">
        <v>49</v>
      </c>
      <c r="G24">
        <v>0.106</v>
      </c>
      <c r="H24">
        <v>34.873393015131001</v>
      </c>
      <c r="I24">
        <v>-3.5311464788986902</v>
      </c>
      <c r="J24">
        <v>4</v>
      </c>
      <c r="K24">
        <v>100</v>
      </c>
      <c r="L24">
        <v>28</v>
      </c>
      <c r="M24">
        <v>75</v>
      </c>
      <c r="N24">
        <v>9.4</v>
      </c>
      <c r="O24">
        <v>814.96657740786998</v>
      </c>
      <c r="P24" t="s">
        <v>50</v>
      </c>
      <c r="Q24" t="s">
        <v>60</v>
      </c>
      <c r="R24">
        <v>41</v>
      </c>
      <c r="S24">
        <v>15</v>
      </c>
      <c r="T24">
        <v>836</v>
      </c>
      <c r="U24">
        <v>1.92</v>
      </c>
      <c r="V24" s="5">
        <v>53.53</v>
      </c>
      <c r="W24" s="5">
        <v>15.67</v>
      </c>
      <c r="X24" s="5">
        <v>30.8</v>
      </c>
      <c r="Y24" s="5">
        <v>2</v>
      </c>
      <c r="Z24" t="s">
        <v>61</v>
      </c>
      <c r="AA24" t="s">
        <v>93</v>
      </c>
      <c r="AB24">
        <v>20</v>
      </c>
      <c r="AC24">
        <v>22.6524844720497</v>
      </c>
      <c r="AD24">
        <v>349</v>
      </c>
      <c r="AE24" s="6">
        <v>0.44400000000000001</v>
      </c>
      <c r="AF24" s="6">
        <v>0.45</v>
      </c>
      <c r="AG24" s="6">
        <v>3.01</v>
      </c>
      <c r="AH24" s="6">
        <v>45</v>
      </c>
      <c r="AI24" s="2">
        <v>55.868000000000002</v>
      </c>
      <c r="AJ24" s="2">
        <v>3.4670000000000001</v>
      </c>
      <c r="AK24" s="2" t="s">
        <v>289</v>
      </c>
      <c r="AL24">
        <v>13.587611928104501</v>
      </c>
      <c r="AM24">
        <v>0.33348083451659399</v>
      </c>
      <c r="AN24">
        <v>16.366</v>
      </c>
      <c r="AO24">
        <v>16.366</v>
      </c>
      <c r="AP24">
        <v>159.206928255695</v>
      </c>
      <c r="AQ24">
        <v>227.464757388441</v>
      </c>
      <c r="AR24">
        <v>2.15983523965141</v>
      </c>
      <c r="AS24">
        <v>9.5464468336361102E-2</v>
      </c>
      <c r="AT24">
        <v>14.684841503267901</v>
      </c>
      <c r="AU24">
        <v>0.43942153763883501</v>
      </c>
      <c r="AV24">
        <v>292.66400145097998</v>
      </c>
      <c r="AW24">
        <v>259.55262451411198</v>
      </c>
      <c r="AX24">
        <v>2.4077505446623002</v>
      </c>
      <c r="AY24">
        <v>9.5464556385709998E-2</v>
      </c>
      <c r="AZ24">
        <v>11.8244350850222</v>
      </c>
      <c r="BA24">
        <v>0.26287531236663098</v>
      </c>
      <c r="BB24">
        <v>19.539000000000001</v>
      </c>
      <c r="BC24">
        <v>19.539000000000001</v>
      </c>
      <c r="BD24">
        <v>121.57874411594101</v>
      </c>
      <c r="BE24">
        <v>181.242437719202</v>
      </c>
      <c r="BF24">
        <v>2.34738407067382</v>
      </c>
      <c r="BG24">
        <v>9.73236977593257E-2</v>
      </c>
      <c r="BH24">
        <v>12.694645324761501</v>
      </c>
      <c r="BI24">
        <v>0.34190333699293302</v>
      </c>
      <c r="BJ24">
        <v>225.25562982516601</v>
      </c>
      <c r="BK24">
        <v>203.279562841249</v>
      </c>
      <c r="BL24">
        <v>2.5587842327659001</v>
      </c>
      <c r="BM24">
        <v>9.6763758915292999E-2</v>
      </c>
    </row>
    <row r="25" spans="1:65" x14ac:dyDescent="0.25">
      <c r="A25" t="s">
        <v>108</v>
      </c>
      <c r="B25">
        <v>57.266666999999998</v>
      </c>
      <c r="C25">
        <v>-4.8166669999999998</v>
      </c>
      <c r="D25" s="1" t="s">
        <v>97</v>
      </c>
      <c r="E25" t="s">
        <v>98</v>
      </c>
      <c r="F25" t="s">
        <v>49</v>
      </c>
      <c r="G25">
        <v>0.40899999999999997</v>
      </c>
      <c r="H25">
        <v>27.808342042033601</v>
      </c>
      <c r="I25">
        <v>-10.338650424025801</v>
      </c>
      <c r="J25">
        <v>15</v>
      </c>
      <c r="K25">
        <v>100</v>
      </c>
      <c r="L25">
        <v>20</v>
      </c>
      <c r="M25">
        <v>300</v>
      </c>
      <c r="N25">
        <v>6.9516910568070003</v>
      </c>
      <c r="O25">
        <v>1472.9548624827801</v>
      </c>
      <c r="P25" t="s">
        <v>50</v>
      </c>
      <c r="Q25" t="s">
        <v>51</v>
      </c>
      <c r="R25">
        <v>86</v>
      </c>
      <c r="S25">
        <v>11</v>
      </c>
      <c r="T25">
        <v>316</v>
      </c>
      <c r="U25">
        <v>0.92</v>
      </c>
      <c r="V25" s="5">
        <v>77.27</v>
      </c>
      <c r="W25" s="5">
        <v>3.46</v>
      </c>
      <c r="X25" s="5">
        <v>19.27</v>
      </c>
      <c r="Y25" s="5">
        <v>2</v>
      </c>
      <c r="Z25" t="s">
        <v>79</v>
      </c>
      <c r="AA25" t="s">
        <v>80</v>
      </c>
      <c r="AB25">
        <v>15</v>
      </c>
      <c r="AC25">
        <v>39</v>
      </c>
      <c r="AD25">
        <v>655.17999999999995</v>
      </c>
      <c r="AE25" s="6">
        <v>0.44400000000000001</v>
      </c>
      <c r="AF25" s="6">
        <v>0.45</v>
      </c>
      <c r="AG25" s="6">
        <v>3.01</v>
      </c>
      <c r="AH25" s="6">
        <v>45</v>
      </c>
      <c r="AI25" s="2">
        <v>55.868000000000002</v>
      </c>
      <c r="AJ25" s="2">
        <v>3.4670000000000001</v>
      </c>
      <c r="AK25" s="2" t="s">
        <v>286</v>
      </c>
      <c r="AL25">
        <v>11.443449734942099</v>
      </c>
      <c r="AM25">
        <v>0.30818283823915599</v>
      </c>
      <c r="AN25">
        <v>284.39999999999998</v>
      </c>
      <c r="AO25">
        <v>284.39999999999998</v>
      </c>
      <c r="AP25">
        <v>142.49291120618</v>
      </c>
      <c r="AQ25">
        <v>154.29651142445601</v>
      </c>
      <c r="AR25">
        <v>2.1775047729128398</v>
      </c>
      <c r="AS25">
        <v>0.437928569264527</v>
      </c>
      <c r="AT25">
        <v>12.9620347435106</v>
      </c>
      <c r="AU25">
        <v>0.42172681029807702</v>
      </c>
      <c r="AV25">
        <v>273.31931034717002</v>
      </c>
      <c r="AW25">
        <v>169.63062697860599</v>
      </c>
      <c r="AX25">
        <v>2.40032223950486</v>
      </c>
      <c r="AY25">
        <v>0.434578958414503</v>
      </c>
      <c r="AZ25">
        <v>10.9900619007809</v>
      </c>
      <c r="BA25">
        <v>0.29881179717352502</v>
      </c>
      <c r="BB25">
        <v>327</v>
      </c>
      <c r="BC25">
        <v>327</v>
      </c>
      <c r="BD25">
        <v>134.51872631869199</v>
      </c>
      <c r="BE25">
        <v>146.840046562331</v>
      </c>
      <c r="BF25">
        <v>2.1182375794921602</v>
      </c>
      <c r="BG25">
        <v>0.43601079797914299</v>
      </c>
      <c r="BH25">
        <v>12.464165885190599</v>
      </c>
      <c r="BI25">
        <v>0.40759154144131399</v>
      </c>
      <c r="BJ25">
        <v>258.71087509861002</v>
      </c>
      <c r="BK25">
        <v>160.70890701608701</v>
      </c>
      <c r="BL25">
        <v>2.3176710473280999</v>
      </c>
      <c r="BM25">
        <v>0.43286076820573399</v>
      </c>
    </row>
    <row r="26" spans="1:65" x14ac:dyDescent="0.25">
      <c r="A26" t="s">
        <v>109</v>
      </c>
      <c r="B26">
        <v>5.278772</v>
      </c>
      <c r="C26">
        <v>-52.924863000000002</v>
      </c>
      <c r="D26" s="1" t="s">
        <v>256</v>
      </c>
      <c r="E26" t="s">
        <v>257</v>
      </c>
      <c r="F26" t="s">
        <v>49</v>
      </c>
      <c r="G26">
        <v>0.16400000000000001</v>
      </c>
      <c r="H26">
        <v>2.0647684391407999E-2</v>
      </c>
      <c r="I26">
        <v>7.5033817909982998E-3</v>
      </c>
      <c r="J26">
        <v>1</v>
      </c>
      <c r="K26">
        <v>0.15</v>
      </c>
      <c r="L26">
        <v>30.6</v>
      </c>
      <c r="M26">
        <v>40</v>
      </c>
      <c r="N26">
        <v>26.1452525040018</v>
      </c>
      <c r="O26">
        <v>2706.4339257839301</v>
      </c>
      <c r="P26" t="s">
        <v>92</v>
      </c>
      <c r="Q26" t="s">
        <v>112</v>
      </c>
      <c r="R26">
        <v>200</v>
      </c>
      <c r="S26">
        <v>35</v>
      </c>
      <c r="T26">
        <v>550</v>
      </c>
      <c r="U26">
        <v>7</v>
      </c>
      <c r="V26" s="5">
        <v>48</v>
      </c>
      <c r="W26" s="5">
        <v>43</v>
      </c>
      <c r="X26" s="5">
        <v>9</v>
      </c>
      <c r="Y26" s="5">
        <v>1</v>
      </c>
      <c r="Z26" t="s">
        <v>52</v>
      </c>
      <c r="AA26" t="s">
        <v>113</v>
      </c>
      <c r="AB26">
        <v>10</v>
      </c>
      <c r="AC26">
        <v>78.5</v>
      </c>
      <c r="AD26">
        <v>2412.62</v>
      </c>
      <c r="AE26" s="6">
        <v>0.72699999999999998</v>
      </c>
      <c r="AG26" s="6">
        <v>4.99</v>
      </c>
      <c r="AI26">
        <v>5.2670000000000003</v>
      </c>
      <c r="AJ26">
        <v>-52.916699999999999</v>
      </c>
      <c r="AK26" t="s">
        <v>258</v>
      </c>
      <c r="AL26">
        <v>25.939726573528102</v>
      </c>
      <c r="AM26">
        <v>0.52471072908317695</v>
      </c>
      <c r="AN26">
        <v>7731.5</v>
      </c>
      <c r="AO26">
        <v>1932.875</v>
      </c>
      <c r="AP26">
        <v>197.22796493460299</v>
      </c>
      <c r="AQ26">
        <v>335.22413992428898</v>
      </c>
      <c r="AR26">
        <v>2.9536234921563098</v>
      </c>
      <c r="AS26">
        <v>0.20445741876537801</v>
      </c>
      <c r="AT26">
        <v>26.789177408160199</v>
      </c>
      <c r="AU26">
        <v>0.69900231591322703</v>
      </c>
      <c r="AV26">
        <v>395.35729621623801</v>
      </c>
      <c r="AW26">
        <v>338.179666627426</v>
      </c>
      <c r="AX26">
        <v>3.41541164066911</v>
      </c>
      <c r="AY26">
        <v>0.205033275485836</v>
      </c>
      <c r="AZ26">
        <v>25.939726573528102</v>
      </c>
      <c r="BA26">
        <v>0.52471072908317695</v>
      </c>
      <c r="BB26">
        <v>7731.5</v>
      </c>
      <c r="BC26">
        <v>1932.875</v>
      </c>
      <c r="BD26">
        <v>197.22796493460299</v>
      </c>
      <c r="BE26">
        <v>335.22413992428898</v>
      </c>
      <c r="BF26">
        <v>2.9536234921563098</v>
      </c>
      <c r="BG26">
        <v>0.20445741876537801</v>
      </c>
      <c r="BH26">
        <v>26.789177408160199</v>
      </c>
      <c r="BI26">
        <v>0.69900231591322703</v>
      </c>
      <c r="BJ26">
        <v>395.35729621623801</v>
      </c>
      <c r="BK26">
        <v>338.179666627426</v>
      </c>
      <c r="BL26">
        <v>3.41541164066911</v>
      </c>
      <c r="BM26">
        <v>0.205033275485836</v>
      </c>
    </row>
    <row r="27" spans="1:65" x14ac:dyDescent="0.25">
      <c r="A27" t="s">
        <v>109</v>
      </c>
      <c r="B27">
        <v>5.278772</v>
      </c>
      <c r="C27">
        <v>-52.924863000000002</v>
      </c>
      <c r="D27" s="1" t="s">
        <v>110</v>
      </c>
      <c r="E27" t="s">
        <v>111</v>
      </c>
      <c r="F27" t="s">
        <v>49</v>
      </c>
      <c r="G27">
        <v>0.11600000000000001</v>
      </c>
      <c r="H27">
        <v>0.12860912673491201</v>
      </c>
      <c r="I27">
        <v>-1.1688109752946201E-2</v>
      </c>
      <c r="J27">
        <v>1</v>
      </c>
      <c r="K27">
        <v>3</v>
      </c>
      <c r="L27">
        <v>30.6</v>
      </c>
      <c r="M27">
        <v>40</v>
      </c>
      <c r="N27">
        <v>26.1452525040018</v>
      </c>
      <c r="O27">
        <v>2706.4339257839301</v>
      </c>
      <c r="P27" t="s">
        <v>92</v>
      </c>
      <c r="Q27" t="s">
        <v>112</v>
      </c>
      <c r="R27">
        <v>200</v>
      </c>
      <c r="S27">
        <v>35</v>
      </c>
      <c r="T27">
        <v>550</v>
      </c>
      <c r="U27">
        <v>7</v>
      </c>
      <c r="V27" s="5">
        <v>48</v>
      </c>
      <c r="W27" s="5">
        <v>43</v>
      </c>
      <c r="X27" s="5">
        <v>9</v>
      </c>
      <c r="Y27" s="5">
        <v>1</v>
      </c>
      <c r="Z27" t="s">
        <v>52</v>
      </c>
      <c r="AA27" t="s">
        <v>113</v>
      </c>
      <c r="AB27">
        <v>10</v>
      </c>
      <c r="AC27">
        <v>24.2</v>
      </c>
      <c r="AD27">
        <v>114.4</v>
      </c>
      <c r="AE27" s="6">
        <v>0.88</v>
      </c>
      <c r="AG27" s="6">
        <v>2.97</v>
      </c>
      <c r="AI27">
        <v>5.2670000000000003</v>
      </c>
      <c r="AJ27">
        <v>-52.916699999999999</v>
      </c>
      <c r="AK27" t="s">
        <v>114</v>
      </c>
      <c r="AL27">
        <v>25.939726573528102</v>
      </c>
      <c r="AM27">
        <v>0.52471072908317695</v>
      </c>
      <c r="AN27">
        <v>7731.5</v>
      </c>
      <c r="AO27">
        <v>1932.875</v>
      </c>
      <c r="AP27">
        <v>197.22796493460299</v>
      </c>
      <c r="AQ27">
        <v>335.22413992428898</v>
      </c>
      <c r="AR27">
        <v>2.9536234921563098</v>
      </c>
      <c r="AS27">
        <v>0.20445741876537801</v>
      </c>
      <c r="AT27">
        <v>26.789177408160199</v>
      </c>
      <c r="AU27">
        <v>0.69900231591322703</v>
      </c>
      <c r="AV27">
        <v>395.35729621623801</v>
      </c>
      <c r="AW27">
        <v>338.179666627426</v>
      </c>
      <c r="AX27">
        <v>3.41541164066911</v>
      </c>
      <c r="AY27">
        <v>0.205033275485836</v>
      </c>
      <c r="AZ27">
        <v>25.939726573528102</v>
      </c>
      <c r="BA27">
        <v>0.52471072908317695</v>
      </c>
      <c r="BB27">
        <v>7731.5</v>
      </c>
      <c r="BC27">
        <v>1932.875</v>
      </c>
      <c r="BD27">
        <v>197.22796493460299</v>
      </c>
      <c r="BE27">
        <v>335.22413992428898</v>
      </c>
      <c r="BF27">
        <v>2.9536234921563098</v>
      </c>
      <c r="BG27">
        <v>0.20445741876537801</v>
      </c>
      <c r="BH27">
        <v>26.789177408160199</v>
      </c>
      <c r="BI27">
        <v>0.69900231591322703</v>
      </c>
      <c r="BJ27">
        <v>395.35729621623801</v>
      </c>
      <c r="BK27">
        <v>338.179666627426</v>
      </c>
      <c r="BL27">
        <v>3.41541164066911</v>
      </c>
      <c r="BM27">
        <v>0.205033275485836</v>
      </c>
    </row>
    <row r="28" spans="1:65" x14ac:dyDescent="0.25">
      <c r="A28" t="s">
        <v>115</v>
      </c>
      <c r="B28">
        <v>5.2816666666666698</v>
      </c>
      <c r="C28">
        <v>-52.912222222222198</v>
      </c>
      <c r="D28" s="1" t="s">
        <v>256</v>
      </c>
      <c r="E28" t="s">
        <v>257</v>
      </c>
      <c r="F28" t="s">
        <v>118</v>
      </c>
      <c r="G28">
        <v>0.11799999999999999</v>
      </c>
      <c r="H28">
        <v>122.52220256710901</v>
      </c>
      <c r="I28">
        <v>4.9189979927005503</v>
      </c>
      <c r="J28">
        <v>1</v>
      </c>
      <c r="L28">
        <v>31.5</v>
      </c>
      <c r="M28">
        <v>45</v>
      </c>
      <c r="N28">
        <v>26.1</v>
      </c>
      <c r="O28">
        <v>2815.7351737301201</v>
      </c>
      <c r="P28" t="s">
        <v>92</v>
      </c>
      <c r="Q28" t="s">
        <v>112</v>
      </c>
      <c r="S28">
        <v>35</v>
      </c>
      <c r="T28">
        <v>620</v>
      </c>
      <c r="U28">
        <v>6.7</v>
      </c>
      <c r="V28" s="5">
        <v>47.8</v>
      </c>
      <c r="W28" s="5">
        <v>43.2</v>
      </c>
      <c r="X28" s="5">
        <v>9</v>
      </c>
      <c r="Y28" s="5">
        <v>1</v>
      </c>
      <c r="Z28" t="s">
        <v>79</v>
      </c>
      <c r="AA28" t="s">
        <v>113</v>
      </c>
      <c r="AB28">
        <v>10</v>
      </c>
      <c r="AC28">
        <v>79.900000000000006</v>
      </c>
      <c r="AD28">
        <v>2491.3000000000002</v>
      </c>
      <c r="AE28" s="6">
        <v>0.72699999999999998</v>
      </c>
      <c r="AG28" s="6">
        <v>4.99</v>
      </c>
      <c r="AI28">
        <v>5.2670000000000003</v>
      </c>
      <c r="AJ28">
        <v>-52.916699999999999</v>
      </c>
      <c r="AK28" t="s">
        <v>258</v>
      </c>
      <c r="AL28">
        <v>25.564946132169698</v>
      </c>
      <c r="AM28">
        <v>0.51654235210311605</v>
      </c>
      <c r="AN28">
        <v>5956.4</v>
      </c>
      <c r="AO28">
        <v>1985.4666666666601</v>
      </c>
      <c r="AP28">
        <v>199.529875903815</v>
      </c>
      <c r="AQ28">
        <v>350.77687406942903</v>
      </c>
      <c r="AR28">
        <v>2.9041011050829599</v>
      </c>
      <c r="AS28">
        <v>0.173258118925705</v>
      </c>
      <c r="AT28">
        <v>26.5168565057884</v>
      </c>
      <c r="AU28">
        <v>0.73671066533340801</v>
      </c>
      <c r="AV28">
        <v>399.46136339515903</v>
      </c>
      <c r="AW28">
        <v>351.83663036400299</v>
      </c>
      <c r="AX28">
        <v>3.3484351359393298</v>
      </c>
      <c r="AY28">
        <v>0.173666494767621</v>
      </c>
      <c r="AZ28">
        <v>25.564946132169698</v>
      </c>
      <c r="BA28">
        <v>0.51654235210311605</v>
      </c>
      <c r="BB28">
        <v>5956.4</v>
      </c>
      <c r="BC28">
        <v>1985.4666666666601</v>
      </c>
      <c r="BD28">
        <v>199.529875903815</v>
      </c>
      <c r="BE28">
        <v>350.77687406942903</v>
      </c>
      <c r="BF28">
        <v>2.9041011050829599</v>
      </c>
      <c r="BG28">
        <v>0.173258118925705</v>
      </c>
      <c r="BH28">
        <v>26.5168565057884</v>
      </c>
      <c r="BI28">
        <v>0.73671066533340801</v>
      </c>
      <c r="BJ28">
        <v>399.46136339515903</v>
      </c>
      <c r="BK28">
        <v>351.83663036400299</v>
      </c>
      <c r="BL28">
        <v>3.3484351359393298</v>
      </c>
      <c r="BM28">
        <v>0.173666494767621</v>
      </c>
    </row>
    <row r="29" spans="1:65" x14ac:dyDescent="0.25">
      <c r="A29" t="s">
        <v>115</v>
      </c>
      <c r="B29">
        <v>5.2816666666666698</v>
      </c>
      <c r="C29">
        <v>-52.912222222222198</v>
      </c>
      <c r="D29" s="1" t="s">
        <v>116</v>
      </c>
      <c r="E29" t="s">
        <v>117</v>
      </c>
      <c r="F29" t="s">
        <v>118</v>
      </c>
      <c r="G29">
        <v>0.14599999999999999</v>
      </c>
      <c r="H29">
        <v>42.522310717438003</v>
      </c>
      <c r="I29">
        <v>-8.6787367191209803</v>
      </c>
      <c r="J29">
        <v>2</v>
      </c>
      <c r="L29">
        <v>31.5</v>
      </c>
      <c r="M29">
        <v>45</v>
      </c>
      <c r="N29">
        <v>26.1</v>
      </c>
      <c r="O29">
        <v>2815.7351737301201</v>
      </c>
      <c r="P29" t="s">
        <v>92</v>
      </c>
      <c r="Q29" t="s">
        <v>112</v>
      </c>
      <c r="S29">
        <v>35</v>
      </c>
      <c r="T29">
        <v>620</v>
      </c>
      <c r="U29">
        <v>6.7</v>
      </c>
      <c r="V29" s="5">
        <v>47.8</v>
      </c>
      <c r="W29" s="5">
        <v>43.2</v>
      </c>
      <c r="X29" s="5">
        <v>9</v>
      </c>
      <c r="Y29" s="5">
        <v>1</v>
      </c>
      <c r="Z29" t="s">
        <v>79</v>
      </c>
      <c r="AA29" t="s">
        <v>113</v>
      </c>
      <c r="AB29">
        <v>10</v>
      </c>
      <c r="AC29">
        <v>13.65</v>
      </c>
      <c r="AD29">
        <v>68.099999999999994</v>
      </c>
      <c r="AE29" s="6">
        <v>0.77</v>
      </c>
      <c r="AK29" t="s">
        <v>119</v>
      </c>
      <c r="AL29">
        <v>25.564946132169698</v>
      </c>
      <c r="AM29">
        <v>0.51654235210311605</v>
      </c>
      <c r="AN29">
        <v>5956.4</v>
      </c>
      <c r="AO29">
        <v>1985.4666666666601</v>
      </c>
      <c r="AP29">
        <v>199.529875903815</v>
      </c>
      <c r="AQ29">
        <v>350.77687406942903</v>
      </c>
      <c r="AR29">
        <v>2.9041011050829599</v>
      </c>
      <c r="AS29">
        <v>0.173258118925705</v>
      </c>
      <c r="AT29">
        <v>26.5168565057884</v>
      </c>
      <c r="AU29">
        <v>0.73671066533340801</v>
      </c>
      <c r="AV29">
        <v>399.46136339515903</v>
      </c>
      <c r="AW29">
        <v>351.83663036400299</v>
      </c>
      <c r="AX29">
        <v>3.3484351359393298</v>
      </c>
      <c r="AY29">
        <v>0.173666494767621</v>
      </c>
      <c r="AZ29">
        <v>25.564946132169698</v>
      </c>
      <c r="BA29">
        <v>0.51654235210311605</v>
      </c>
      <c r="BB29">
        <v>5956.4</v>
      </c>
      <c r="BC29">
        <v>1985.4666666666601</v>
      </c>
      <c r="BD29">
        <v>199.529875903815</v>
      </c>
      <c r="BE29">
        <v>350.77687406942903</v>
      </c>
      <c r="BF29">
        <v>2.9041011050829599</v>
      </c>
      <c r="BG29">
        <v>0.173258118925705</v>
      </c>
      <c r="BH29">
        <v>26.5168565057884</v>
      </c>
      <c r="BI29">
        <v>0.73671066533340801</v>
      </c>
      <c r="BJ29">
        <v>399.46136339515903</v>
      </c>
      <c r="BK29">
        <v>351.83663036400299</v>
      </c>
      <c r="BL29">
        <v>3.3484351359393298</v>
      </c>
      <c r="BM29">
        <v>0.173666494767621</v>
      </c>
    </row>
    <row r="30" spans="1:65" x14ac:dyDescent="0.25">
      <c r="A30" t="s">
        <v>115</v>
      </c>
      <c r="B30">
        <v>5.2816666666666698</v>
      </c>
      <c r="C30">
        <v>-52.912222222222198</v>
      </c>
      <c r="D30" s="1" t="s">
        <v>259</v>
      </c>
      <c r="E30" t="s">
        <v>260</v>
      </c>
      <c r="F30" t="s">
        <v>118</v>
      </c>
      <c r="G30">
        <v>0.112</v>
      </c>
      <c r="H30">
        <v>85.949860895484505</v>
      </c>
      <c r="I30">
        <v>2.6544050851210299</v>
      </c>
      <c r="J30">
        <v>1</v>
      </c>
      <c r="L30">
        <v>31.5</v>
      </c>
      <c r="M30">
        <v>45</v>
      </c>
      <c r="N30">
        <v>26.1</v>
      </c>
      <c r="O30">
        <v>2815.7351737301201</v>
      </c>
      <c r="P30" t="s">
        <v>92</v>
      </c>
      <c r="Q30" t="s">
        <v>112</v>
      </c>
      <c r="S30">
        <v>35</v>
      </c>
      <c r="T30">
        <v>620</v>
      </c>
      <c r="U30">
        <v>6.7</v>
      </c>
      <c r="V30" s="5">
        <v>47.8</v>
      </c>
      <c r="W30" s="5">
        <v>43.2</v>
      </c>
      <c r="X30" s="5">
        <v>9</v>
      </c>
      <c r="Y30" s="5">
        <v>1</v>
      </c>
      <c r="Z30" t="s">
        <v>79</v>
      </c>
      <c r="AA30" t="s">
        <v>113</v>
      </c>
      <c r="AB30">
        <v>10</v>
      </c>
      <c r="AC30">
        <v>47.6</v>
      </c>
      <c r="AD30">
        <v>566.70000000000005</v>
      </c>
      <c r="AE30" s="6">
        <v>0.77</v>
      </c>
      <c r="AK30" t="s">
        <v>119</v>
      </c>
      <c r="AL30">
        <v>25.564946132169698</v>
      </c>
      <c r="AM30">
        <v>0.51654235210311605</v>
      </c>
      <c r="AN30">
        <v>5956.4</v>
      </c>
      <c r="AO30">
        <v>1985.4666666666601</v>
      </c>
      <c r="AP30">
        <v>199.529875903815</v>
      </c>
      <c r="AQ30">
        <v>350.77687406942903</v>
      </c>
      <c r="AR30">
        <v>2.9041011050829599</v>
      </c>
      <c r="AS30">
        <v>0.173258118925705</v>
      </c>
      <c r="AT30">
        <v>26.5168565057884</v>
      </c>
      <c r="AU30">
        <v>0.73671066533340801</v>
      </c>
      <c r="AV30">
        <v>399.46136339515903</v>
      </c>
      <c r="AW30">
        <v>351.83663036400299</v>
      </c>
      <c r="AX30">
        <v>3.3484351359393298</v>
      </c>
      <c r="AY30">
        <v>0.173666494767621</v>
      </c>
      <c r="AZ30">
        <v>25.564946132169698</v>
      </c>
      <c r="BA30">
        <v>0.51654235210311605</v>
      </c>
      <c r="BB30">
        <v>5956.4</v>
      </c>
      <c r="BC30">
        <v>1985.4666666666601</v>
      </c>
      <c r="BD30">
        <v>199.529875903815</v>
      </c>
      <c r="BE30">
        <v>350.77687406942903</v>
      </c>
      <c r="BF30">
        <v>2.9041011050829599</v>
      </c>
      <c r="BG30">
        <v>0.173258118925705</v>
      </c>
      <c r="BH30">
        <v>26.5168565057884</v>
      </c>
      <c r="BI30">
        <v>0.73671066533340801</v>
      </c>
      <c r="BJ30">
        <v>399.46136339515903</v>
      </c>
      <c r="BK30">
        <v>351.83663036400299</v>
      </c>
      <c r="BL30">
        <v>3.3484351359393298</v>
      </c>
      <c r="BM30">
        <v>0.173666494767621</v>
      </c>
    </row>
    <row r="31" spans="1:65" x14ac:dyDescent="0.25">
      <c r="A31" t="s">
        <v>115</v>
      </c>
      <c r="B31">
        <v>5.2816666666666698</v>
      </c>
      <c r="C31">
        <v>-52.912222222222198</v>
      </c>
      <c r="D31" s="1" t="s">
        <v>120</v>
      </c>
      <c r="E31" t="s">
        <v>121</v>
      </c>
      <c r="F31" t="s">
        <v>118</v>
      </c>
      <c r="G31">
        <v>0.129</v>
      </c>
      <c r="H31">
        <v>86.290796416415503</v>
      </c>
      <c r="I31">
        <v>-1.7814067909339399</v>
      </c>
      <c r="J31">
        <v>1</v>
      </c>
      <c r="L31">
        <v>31.5</v>
      </c>
      <c r="M31">
        <v>45</v>
      </c>
      <c r="N31">
        <v>26.1</v>
      </c>
      <c r="O31">
        <v>2815.7351737301201</v>
      </c>
      <c r="P31" t="s">
        <v>92</v>
      </c>
      <c r="Q31" t="s">
        <v>112</v>
      </c>
      <c r="S31">
        <v>35</v>
      </c>
      <c r="T31">
        <v>620</v>
      </c>
      <c r="U31">
        <v>6.7</v>
      </c>
      <c r="V31" s="5">
        <v>47.8</v>
      </c>
      <c r="W31" s="5">
        <v>43.2</v>
      </c>
      <c r="X31" s="5">
        <v>9</v>
      </c>
      <c r="Y31" s="5">
        <v>1</v>
      </c>
      <c r="Z31" t="s">
        <v>79</v>
      </c>
      <c r="AA31" t="s">
        <v>113</v>
      </c>
      <c r="AB31">
        <v>10</v>
      </c>
      <c r="AC31">
        <v>40.700000000000003</v>
      </c>
      <c r="AD31">
        <v>757.2</v>
      </c>
      <c r="AL31">
        <v>25.564946132169698</v>
      </c>
      <c r="AM31">
        <v>0.51654235210311605</v>
      </c>
      <c r="AN31">
        <v>5956.4</v>
      </c>
      <c r="AO31">
        <v>1985.4666666666601</v>
      </c>
      <c r="AP31">
        <v>199.529875903815</v>
      </c>
      <c r="AQ31">
        <v>350.77687406942903</v>
      </c>
      <c r="AR31">
        <v>2.9041011050829599</v>
      </c>
      <c r="AS31">
        <v>0.173258118925705</v>
      </c>
      <c r="AT31">
        <v>26.5168565057884</v>
      </c>
      <c r="AU31">
        <v>0.73671066533340801</v>
      </c>
      <c r="AV31">
        <v>399.46136339515903</v>
      </c>
      <c r="AW31">
        <v>351.83663036400299</v>
      </c>
      <c r="AX31">
        <v>3.3484351359393298</v>
      </c>
      <c r="AY31">
        <v>0.173666494767621</v>
      </c>
      <c r="AZ31">
        <v>25.564946132169698</v>
      </c>
      <c r="BA31">
        <v>0.51654235210311605</v>
      </c>
      <c r="BB31">
        <v>5956.4</v>
      </c>
      <c r="BC31">
        <v>1985.4666666666601</v>
      </c>
      <c r="BD31">
        <v>199.529875903815</v>
      </c>
      <c r="BE31">
        <v>350.77687406942903</v>
      </c>
      <c r="BF31">
        <v>2.9041011050829599</v>
      </c>
      <c r="BG31">
        <v>0.173258118925705</v>
      </c>
      <c r="BH31">
        <v>26.5168565057884</v>
      </c>
      <c r="BI31">
        <v>0.73671066533340801</v>
      </c>
      <c r="BJ31">
        <v>399.46136339515903</v>
      </c>
      <c r="BK31">
        <v>351.83663036400299</v>
      </c>
      <c r="BL31">
        <v>3.3484351359393298</v>
      </c>
      <c r="BM31">
        <v>0.173666494767621</v>
      </c>
    </row>
    <row r="32" spans="1:65" x14ac:dyDescent="0.25">
      <c r="A32" t="s">
        <v>122</v>
      </c>
      <c r="B32">
        <v>-1.494</v>
      </c>
      <c r="C32">
        <v>120.057</v>
      </c>
      <c r="D32" s="1" t="s">
        <v>123</v>
      </c>
      <c r="E32" t="s">
        <v>290</v>
      </c>
      <c r="F32" t="s">
        <v>49</v>
      </c>
      <c r="G32">
        <v>0.25700000000000001</v>
      </c>
      <c r="H32">
        <v>0.17872365152167299</v>
      </c>
      <c r="I32">
        <v>-0.111768804132094</v>
      </c>
      <c r="J32">
        <v>6</v>
      </c>
      <c r="K32">
        <v>0.80218339251645898</v>
      </c>
      <c r="L32">
        <v>43.4</v>
      </c>
      <c r="M32">
        <v>1050</v>
      </c>
      <c r="N32">
        <v>21.063120789271199</v>
      </c>
      <c r="O32">
        <v>1668.90427562984</v>
      </c>
      <c r="P32" t="s">
        <v>92</v>
      </c>
      <c r="Q32" t="s">
        <v>124</v>
      </c>
      <c r="S32">
        <v>45</v>
      </c>
      <c r="T32">
        <v>456</v>
      </c>
      <c r="V32" s="5">
        <v>32.5</v>
      </c>
      <c r="W32" s="5">
        <v>27</v>
      </c>
      <c r="X32" s="5">
        <v>42</v>
      </c>
      <c r="Y32" s="5">
        <v>1</v>
      </c>
      <c r="AA32" t="s">
        <v>312</v>
      </c>
      <c r="AB32">
        <v>10</v>
      </c>
      <c r="AC32">
        <v>17.29</v>
      </c>
      <c r="AD32">
        <v>234.80554090250499</v>
      </c>
      <c r="AL32">
        <v>20.616132841186701</v>
      </c>
      <c r="AM32">
        <v>0.329532393298407</v>
      </c>
      <c r="AN32">
        <v>2720.1112499999999</v>
      </c>
      <c r="AO32">
        <v>1360.055625</v>
      </c>
      <c r="AQ32">
        <v>168.856770955451</v>
      </c>
      <c r="AS32">
        <v>0.30288611874580401</v>
      </c>
      <c r="AT32">
        <v>22.403235489922299</v>
      </c>
      <c r="AU32">
        <v>0.54780027183422497</v>
      </c>
      <c r="AW32">
        <v>332.50666461253599</v>
      </c>
      <c r="AY32">
        <v>0.30181018863498299</v>
      </c>
      <c r="AZ32">
        <v>20.616132841186701</v>
      </c>
      <c r="BA32">
        <v>0.329532393298407</v>
      </c>
      <c r="BB32">
        <v>2720.1112499999999</v>
      </c>
      <c r="BC32">
        <v>1360.055625</v>
      </c>
      <c r="BE32">
        <v>168.856770955451</v>
      </c>
      <c r="BG32">
        <v>0.30288611874580401</v>
      </c>
      <c r="BH32">
        <v>22.403235489922299</v>
      </c>
      <c r="BI32">
        <v>0.54780027183422497</v>
      </c>
      <c r="BK32">
        <v>332.50666461253599</v>
      </c>
      <c r="BM32">
        <v>0.30181018863498299</v>
      </c>
    </row>
    <row r="33" spans="1:65" x14ac:dyDescent="0.25">
      <c r="A33" t="s">
        <v>122</v>
      </c>
      <c r="B33">
        <v>-1.494</v>
      </c>
      <c r="C33">
        <v>120.057</v>
      </c>
      <c r="D33" s="1" t="s">
        <v>125</v>
      </c>
      <c r="E33" t="s">
        <v>126</v>
      </c>
      <c r="F33" t="s">
        <v>49</v>
      </c>
      <c r="G33">
        <v>0.29099999999999998</v>
      </c>
      <c r="H33">
        <v>0.112098356075067</v>
      </c>
      <c r="I33">
        <v>-0.54323779544344897</v>
      </c>
      <c r="J33">
        <v>6</v>
      </c>
      <c r="K33">
        <v>2.8901075243805501</v>
      </c>
      <c r="L33">
        <v>43.4</v>
      </c>
      <c r="M33">
        <v>1050</v>
      </c>
      <c r="N33">
        <v>21.063120789271199</v>
      </c>
      <c r="O33">
        <v>1668.90427562984</v>
      </c>
      <c r="P33" t="s">
        <v>92</v>
      </c>
      <c r="Q33" t="s">
        <v>124</v>
      </c>
      <c r="S33">
        <v>45</v>
      </c>
      <c r="T33">
        <v>456</v>
      </c>
      <c r="V33" s="5">
        <v>32.5</v>
      </c>
      <c r="W33" s="5">
        <v>27</v>
      </c>
      <c r="X33" s="5">
        <v>42</v>
      </c>
      <c r="Y33" s="5">
        <v>1</v>
      </c>
      <c r="AA33" t="s">
        <v>312</v>
      </c>
      <c r="AB33">
        <v>10</v>
      </c>
      <c r="AC33">
        <v>14.46</v>
      </c>
      <c r="AD33">
        <v>164.24560552232799</v>
      </c>
      <c r="AF33" s="6">
        <v>4.6100000000000003</v>
      </c>
      <c r="AI33">
        <v>-1.98</v>
      </c>
      <c r="AJ33">
        <v>120</v>
      </c>
      <c r="AK33" t="s">
        <v>127</v>
      </c>
      <c r="AL33">
        <v>20.616132841186701</v>
      </c>
      <c r="AM33">
        <v>0.329532393298407</v>
      </c>
      <c r="AN33">
        <v>2720.1112499999999</v>
      </c>
      <c r="AO33">
        <v>1360.055625</v>
      </c>
      <c r="AQ33">
        <v>168.856770955451</v>
      </c>
      <c r="AS33">
        <v>0.30288611874580401</v>
      </c>
      <c r="AT33">
        <v>22.403235489922299</v>
      </c>
      <c r="AU33">
        <v>0.54780027183422497</v>
      </c>
      <c r="AW33">
        <v>332.50666461253599</v>
      </c>
      <c r="AY33">
        <v>0.30181018863498299</v>
      </c>
      <c r="AZ33">
        <v>20.616132841186701</v>
      </c>
      <c r="BA33">
        <v>0.329532393298407</v>
      </c>
      <c r="BB33">
        <v>2720.1112499999999</v>
      </c>
      <c r="BC33">
        <v>1360.055625</v>
      </c>
      <c r="BE33">
        <v>168.856770955451</v>
      </c>
      <c r="BG33">
        <v>0.30288611874580401</v>
      </c>
      <c r="BH33">
        <v>22.403235489922299</v>
      </c>
      <c r="BI33">
        <v>0.54780027183422497</v>
      </c>
      <c r="BK33">
        <v>332.50666461253599</v>
      </c>
      <c r="BM33">
        <v>0.30181018863498299</v>
      </c>
    </row>
    <row r="34" spans="1:65" x14ac:dyDescent="0.25">
      <c r="A34" t="s">
        <v>122</v>
      </c>
      <c r="B34">
        <v>-1.494</v>
      </c>
      <c r="C34">
        <v>120.057</v>
      </c>
      <c r="D34" s="1" t="s">
        <v>128</v>
      </c>
      <c r="E34" t="s">
        <v>129</v>
      </c>
      <c r="F34" t="s">
        <v>49</v>
      </c>
      <c r="G34">
        <v>0.28999999999999998</v>
      </c>
      <c r="H34">
        <v>0.78507504856488297</v>
      </c>
      <c r="I34">
        <v>-0.73514405430350804</v>
      </c>
      <c r="J34">
        <v>6</v>
      </c>
      <c r="K34">
        <v>1.9012271527512701</v>
      </c>
      <c r="L34">
        <v>43.4</v>
      </c>
      <c r="M34">
        <v>1050</v>
      </c>
      <c r="N34">
        <v>21.063120789271199</v>
      </c>
      <c r="O34">
        <v>1668.90427562984</v>
      </c>
      <c r="P34" t="s">
        <v>92</v>
      </c>
      <c r="Q34" t="s">
        <v>124</v>
      </c>
      <c r="S34">
        <v>45</v>
      </c>
      <c r="T34">
        <v>456</v>
      </c>
      <c r="V34" s="5">
        <v>32.5</v>
      </c>
      <c r="W34" s="5">
        <v>27</v>
      </c>
      <c r="X34" s="5">
        <v>42</v>
      </c>
      <c r="Y34" s="5">
        <v>1</v>
      </c>
      <c r="AA34" t="s">
        <v>312</v>
      </c>
      <c r="AB34">
        <v>10</v>
      </c>
      <c r="AC34">
        <v>22.164999999999999</v>
      </c>
      <c r="AD34">
        <v>400.27695660835599</v>
      </c>
      <c r="AE34" s="6">
        <v>0.32669999999999999</v>
      </c>
      <c r="AF34" s="6">
        <v>1.63</v>
      </c>
      <c r="AI34">
        <v>-1.98</v>
      </c>
      <c r="AJ34">
        <v>120</v>
      </c>
      <c r="AK34" t="s">
        <v>297</v>
      </c>
      <c r="AL34">
        <v>20.616132841186701</v>
      </c>
      <c r="AM34">
        <v>0.329532393298407</v>
      </c>
      <c r="AN34">
        <v>2720.1112499999999</v>
      </c>
      <c r="AO34">
        <v>1360.055625</v>
      </c>
      <c r="AQ34">
        <v>168.856770955451</v>
      </c>
      <c r="AS34">
        <v>0.30288611874580401</v>
      </c>
      <c r="AT34">
        <v>22.403235489922299</v>
      </c>
      <c r="AU34">
        <v>0.54780027183422497</v>
      </c>
      <c r="AW34">
        <v>332.50666461253599</v>
      </c>
      <c r="AY34">
        <v>0.30181018863498299</v>
      </c>
      <c r="AZ34">
        <v>20.616132841186701</v>
      </c>
      <c r="BA34">
        <v>0.329532393298407</v>
      </c>
      <c r="BB34">
        <v>2720.1112499999999</v>
      </c>
      <c r="BC34">
        <v>1360.055625</v>
      </c>
      <c r="BE34">
        <v>168.856770955451</v>
      </c>
      <c r="BG34">
        <v>0.30288611874580401</v>
      </c>
      <c r="BH34">
        <v>22.403235489922299</v>
      </c>
      <c r="BI34">
        <v>0.54780027183422497</v>
      </c>
      <c r="BK34">
        <v>332.50666461253599</v>
      </c>
      <c r="BM34">
        <v>0.30181018863498299</v>
      </c>
    </row>
    <row r="35" spans="1:65" x14ac:dyDescent="0.25">
      <c r="A35" t="s">
        <v>122</v>
      </c>
      <c r="B35">
        <v>-1.494</v>
      </c>
      <c r="C35">
        <v>120.057</v>
      </c>
      <c r="D35" s="1" t="s">
        <v>130</v>
      </c>
      <c r="E35" t="s">
        <v>131</v>
      </c>
      <c r="F35" t="s">
        <v>49</v>
      </c>
      <c r="G35">
        <v>0.28899999999999998</v>
      </c>
      <c r="H35">
        <v>1.74944654228843</v>
      </c>
      <c r="I35">
        <v>-1.2300075742910801</v>
      </c>
      <c r="J35">
        <v>6</v>
      </c>
      <c r="K35">
        <v>8.1411204392739691</v>
      </c>
      <c r="L35">
        <v>43.4</v>
      </c>
      <c r="M35">
        <v>1050</v>
      </c>
      <c r="N35">
        <v>21.063120789271199</v>
      </c>
      <c r="O35">
        <v>1668.90427562984</v>
      </c>
      <c r="P35" t="s">
        <v>92</v>
      </c>
      <c r="Q35" t="s">
        <v>124</v>
      </c>
      <c r="S35">
        <v>45</v>
      </c>
      <c r="T35">
        <v>456</v>
      </c>
      <c r="V35" s="5">
        <v>32.5</v>
      </c>
      <c r="W35" s="5">
        <v>27</v>
      </c>
      <c r="X35" s="5">
        <v>42</v>
      </c>
      <c r="Y35" s="5">
        <v>1</v>
      </c>
      <c r="AA35" t="s">
        <v>312</v>
      </c>
      <c r="AB35">
        <v>10</v>
      </c>
      <c r="AC35">
        <v>32.29</v>
      </c>
      <c r="AD35">
        <v>883.359069902236</v>
      </c>
      <c r="AE35" s="6">
        <v>0.45</v>
      </c>
      <c r="AK35" t="s">
        <v>132</v>
      </c>
      <c r="AL35">
        <v>20.616132841186701</v>
      </c>
      <c r="AM35">
        <v>0.329532393298407</v>
      </c>
      <c r="AN35">
        <v>2720.1112499999999</v>
      </c>
      <c r="AO35">
        <v>1360.055625</v>
      </c>
      <c r="AQ35">
        <v>168.856770955451</v>
      </c>
      <c r="AS35">
        <v>0.30288611874580401</v>
      </c>
      <c r="AT35">
        <v>22.403235489922299</v>
      </c>
      <c r="AU35">
        <v>0.54780027183422497</v>
      </c>
      <c r="AW35">
        <v>332.50666461253599</v>
      </c>
      <c r="AY35">
        <v>0.30181018863498299</v>
      </c>
      <c r="AZ35">
        <v>20.616132841186701</v>
      </c>
      <c r="BA35">
        <v>0.329532393298407</v>
      </c>
      <c r="BB35">
        <v>2720.1112499999999</v>
      </c>
      <c r="BC35">
        <v>1360.055625</v>
      </c>
      <c r="BE35">
        <v>168.856770955451</v>
      </c>
      <c r="BG35">
        <v>0.30288611874580401</v>
      </c>
      <c r="BH35">
        <v>22.403235489922299</v>
      </c>
      <c r="BI35">
        <v>0.54780027183422497</v>
      </c>
      <c r="BK35">
        <v>332.50666461253599</v>
      </c>
      <c r="BM35">
        <v>0.30181018863498299</v>
      </c>
    </row>
    <row r="36" spans="1:65" x14ac:dyDescent="0.25">
      <c r="A36" t="s">
        <v>122</v>
      </c>
      <c r="B36">
        <v>-1.494</v>
      </c>
      <c r="C36">
        <v>120.057</v>
      </c>
      <c r="D36" s="1" t="s">
        <v>298</v>
      </c>
      <c r="E36" t="s">
        <v>291</v>
      </c>
      <c r="F36" t="s">
        <v>49</v>
      </c>
      <c r="G36">
        <v>0.29099999999999998</v>
      </c>
      <c r="H36">
        <v>0.266146134344665</v>
      </c>
      <c r="I36">
        <v>-0.52419015437096705</v>
      </c>
      <c r="J36">
        <v>3</v>
      </c>
      <c r="K36">
        <v>1.7871893517583399</v>
      </c>
      <c r="L36">
        <v>43.4</v>
      </c>
      <c r="M36">
        <v>1050</v>
      </c>
      <c r="N36">
        <v>21.063120789271199</v>
      </c>
      <c r="O36">
        <v>1668.90427562984</v>
      </c>
      <c r="P36" t="s">
        <v>92</v>
      </c>
      <c r="Q36" t="s">
        <v>124</v>
      </c>
      <c r="S36">
        <v>45</v>
      </c>
      <c r="T36">
        <v>456</v>
      </c>
      <c r="V36" s="5">
        <v>32.5</v>
      </c>
      <c r="W36" s="5">
        <v>27</v>
      </c>
      <c r="X36" s="5">
        <v>42</v>
      </c>
      <c r="Y36" s="5">
        <v>1</v>
      </c>
      <c r="AA36" t="s">
        <v>312</v>
      </c>
      <c r="AB36">
        <v>10</v>
      </c>
      <c r="AC36">
        <v>30.71</v>
      </c>
      <c r="AD36">
        <v>740.71222803260298</v>
      </c>
      <c r="AL36">
        <v>20.616132841186701</v>
      </c>
      <c r="AM36">
        <v>0.329532393298407</v>
      </c>
      <c r="AN36">
        <v>2720.1112499999999</v>
      </c>
      <c r="AO36">
        <v>1360.055625</v>
      </c>
      <c r="AQ36">
        <v>168.856770955451</v>
      </c>
      <c r="AS36">
        <v>0.30288611874580401</v>
      </c>
      <c r="AT36">
        <v>22.403235489922299</v>
      </c>
      <c r="AU36">
        <v>0.54780027183422497</v>
      </c>
      <c r="AW36">
        <v>332.50666461253599</v>
      </c>
      <c r="AY36">
        <v>0.30181018863498299</v>
      </c>
      <c r="AZ36">
        <v>20.616132841186701</v>
      </c>
      <c r="BA36">
        <v>0.329532393298407</v>
      </c>
      <c r="BB36">
        <v>2720.1112499999999</v>
      </c>
      <c r="BC36">
        <v>1360.055625</v>
      </c>
      <c r="BE36">
        <v>168.856770955451</v>
      </c>
      <c r="BG36">
        <v>0.30288611874580401</v>
      </c>
      <c r="BH36">
        <v>22.403235489922299</v>
      </c>
      <c r="BI36">
        <v>0.54780027183422497</v>
      </c>
      <c r="BK36">
        <v>332.50666461253599</v>
      </c>
      <c r="BM36">
        <v>0.30181018863498299</v>
      </c>
    </row>
    <row r="37" spans="1:65" x14ac:dyDescent="0.25">
      <c r="A37" t="s">
        <v>261</v>
      </c>
      <c r="B37">
        <v>46.693519999999999</v>
      </c>
      <c r="C37">
        <v>10.612869999999999</v>
      </c>
      <c r="D37" s="1" t="s">
        <v>134</v>
      </c>
      <c r="E37" t="s">
        <v>135</v>
      </c>
      <c r="F37" t="s">
        <v>118</v>
      </c>
      <c r="G37">
        <v>0.13400000000000001</v>
      </c>
      <c r="H37">
        <v>46.2621061005458</v>
      </c>
      <c r="I37">
        <v>6.4074302740425901</v>
      </c>
      <c r="J37">
        <v>6</v>
      </c>
      <c r="K37">
        <v>100</v>
      </c>
      <c r="M37">
        <v>1715</v>
      </c>
      <c r="N37">
        <v>3.5761535072978501</v>
      </c>
      <c r="O37">
        <v>672.04099657714505</v>
      </c>
      <c r="P37" t="s">
        <v>136</v>
      </c>
      <c r="Q37" t="s">
        <v>51</v>
      </c>
      <c r="R37">
        <v>111</v>
      </c>
      <c r="S37">
        <v>20</v>
      </c>
      <c r="V37" s="5">
        <v>76</v>
      </c>
      <c r="W37" s="5">
        <v>8</v>
      </c>
      <c r="X37" s="5">
        <v>16</v>
      </c>
      <c r="Y37" s="5">
        <v>1</v>
      </c>
      <c r="Z37" t="s">
        <v>52</v>
      </c>
      <c r="AA37" t="s">
        <v>62</v>
      </c>
      <c r="AB37">
        <v>5</v>
      </c>
      <c r="AC37">
        <v>41.45</v>
      </c>
      <c r="AE37" s="6">
        <v>0.58599999999999997</v>
      </c>
      <c r="AF37" s="6">
        <v>0.53400000000000003</v>
      </c>
      <c r="AG37" s="6">
        <v>3.66</v>
      </c>
      <c r="AH37" s="6">
        <v>55</v>
      </c>
      <c r="AI37">
        <v>47.2333</v>
      </c>
      <c r="AJ37">
        <v>11.3</v>
      </c>
      <c r="AK37" t="s">
        <v>140</v>
      </c>
      <c r="AL37">
        <v>10.6261583070514</v>
      </c>
      <c r="AM37">
        <v>0.365263269813696</v>
      </c>
      <c r="AN37">
        <v>789.87</v>
      </c>
      <c r="AO37">
        <v>394.935</v>
      </c>
      <c r="AP37">
        <v>213.65532924102001</v>
      </c>
      <c r="AR37">
        <v>1.103401630869</v>
      </c>
      <c r="AS37">
        <v>0.15640811169907401</v>
      </c>
      <c r="AT37">
        <v>12.666759746126599</v>
      </c>
      <c r="AU37">
        <v>0.49758279792871402</v>
      </c>
      <c r="AV37">
        <v>417.04964234725401</v>
      </c>
      <c r="AX37">
        <v>1.40143528947467</v>
      </c>
      <c r="AY37">
        <v>0.156136768134707</v>
      </c>
      <c r="AZ37">
        <v>6.5506122338942703</v>
      </c>
      <c r="BA37">
        <v>0.27676988694741</v>
      </c>
      <c r="BB37">
        <v>1240.83</v>
      </c>
      <c r="BC37">
        <v>620.41499999999996</v>
      </c>
      <c r="BD37">
        <v>160.75779823037701</v>
      </c>
      <c r="BF37">
        <v>0.921487395184453</v>
      </c>
      <c r="BG37">
        <v>0.16675366389572199</v>
      </c>
      <c r="BH37">
        <v>8.36341404218763</v>
      </c>
      <c r="BI37">
        <v>0.37509004206058499</v>
      </c>
      <c r="BJ37">
        <v>321.39832171342198</v>
      </c>
      <c r="BL37">
        <v>1.2007283558426201</v>
      </c>
      <c r="BM37">
        <v>0.16657705731460601</v>
      </c>
    </row>
    <row r="38" spans="1:65" x14ac:dyDescent="0.25">
      <c r="A38" t="s">
        <v>133</v>
      </c>
      <c r="B38">
        <v>46.697670000000002</v>
      </c>
      <c r="C38">
        <v>10.60717</v>
      </c>
      <c r="D38" s="1" t="s">
        <v>134</v>
      </c>
      <c r="E38" t="s">
        <v>135</v>
      </c>
      <c r="F38" t="s">
        <v>118</v>
      </c>
      <c r="G38">
        <v>0.23799999999999999</v>
      </c>
      <c r="H38">
        <v>8.0338985960622207</v>
      </c>
      <c r="I38">
        <v>-32.3360507967923</v>
      </c>
      <c r="J38">
        <v>6</v>
      </c>
      <c r="K38">
        <v>100</v>
      </c>
      <c r="M38">
        <v>1990</v>
      </c>
      <c r="N38">
        <v>1.89603622718079</v>
      </c>
      <c r="O38">
        <v>772.76787792412699</v>
      </c>
      <c r="P38" t="s">
        <v>136</v>
      </c>
      <c r="Q38" t="s">
        <v>137</v>
      </c>
      <c r="R38">
        <v>62</v>
      </c>
      <c r="S38">
        <v>14</v>
      </c>
      <c r="V38" s="5">
        <v>50</v>
      </c>
      <c r="W38" s="5">
        <v>17</v>
      </c>
      <c r="X38" s="5">
        <v>33</v>
      </c>
      <c r="Y38" s="5">
        <v>1</v>
      </c>
      <c r="Z38" t="s">
        <v>52</v>
      </c>
      <c r="AA38" t="s">
        <v>93</v>
      </c>
      <c r="AB38">
        <v>5</v>
      </c>
      <c r="AC38">
        <v>40.299999999999997</v>
      </c>
      <c r="AE38" s="6">
        <v>0.58599999999999997</v>
      </c>
      <c r="AF38" s="6">
        <v>0.53400000000000003</v>
      </c>
      <c r="AG38" s="6">
        <v>3.66</v>
      </c>
      <c r="AH38" s="6">
        <v>55</v>
      </c>
      <c r="AI38">
        <v>47.2333</v>
      </c>
      <c r="AJ38">
        <v>11.3</v>
      </c>
      <c r="AK38" t="s">
        <v>138</v>
      </c>
      <c r="AL38">
        <v>9.8555463365712601</v>
      </c>
      <c r="AM38">
        <v>0.378553214370424</v>
      </c>
      <c r="AN38">
        <v>1288.45</v>
      </c>
      <c r="AO38">
        <v>429.48333333333301</v>
      </c>
      <c r="AP38">
        <v>244.57518080519199</v>
      </c>
      <c r="AR38">
        <v>0.956131661645788</v>
      </c>
      <c r="AS38">
        <v>0.25421933747070602</v>
      </c>
      <c r="AT38">
        <v>11.9112236561988</v>
      </c>
      <c r="AU38">
        <v>0.52812677399560604</v>
      </c>
      <c r="AV38">
        <v>482.60411342592499</v>
      </c>
      <c r="AX38">
        <v>0.932207186782679</v>
      </c>
      <c r="AY38">
        <v>0.25389599805945601</v>
      </c>
      <c r="AZ38">
        <v>4.5697379627798496</v>
      </c>
      <c r="BA38">
        <v>0.27147007022105002</v>
      </c>
      <c r="BB38">
        <v>2052.81</v>
      </c>
      <c r="BC38">
        <v>684.27</v>
      </c>
      <c r="BD38">
        <v>177.290894447629</v>
      </c>
      <c r="BF38">
        <v>0.97865507062725099</v>
      </c>
      <c r="BG38">
        <v>0.29286768004282798</v>
      </c>
      <c r="BH38">
        <v>6.3517475778302703</v>
      </c>
      <c r="BI38">
        <v>0.37624125467645397</v>
      </c>
      <c r="BJ38">
        <v>356.72417418566999</v>
      </c>
      <c r="BL38">
        <v>0.92669793051663796</v>
      </c>
      <c r="BM38">
        <v>0.29270889159920799</v>
      </c>
    </row>
    <row r="39" spans="1:65" x14ac:dyDescent="0.25">
      <c r="A39" t="s">
        <v>139</v>
      </c>
      <c r="B39">
        <v>46.74</v>
      </c>
      <c r="C39">
        <v>10.690861111111101</v>
      </c>
      <c r="D39" s="1" t="s">
        <v>134</v>
      </c>
      <c r="E39" t="s">
        <v>135</v>
      </c>
      <c r="F39" t="s">
        <v>118</v>
      </c>
      <c r="G39">
        <v>0.49099999999999999</v>
      </c>
      <c r="H39">
        <v>2.25688175963352</v>
      </c>
      <c r="I39">
        <v>-101.84016155256001</v>
      </c>
      <c r="J39">
        <v>4</v>
      </c>
      <c r="K39">
        <v>30</v>
      </c>
      <c r="M39">
        <v>2100</v>
      </c>
      <c r="N39">
        <v>0.83394120289777196</v>
      </c>
      <c r="O39">
        <v>677.59533246654496</v>
      </c>
      <c r="P39" t="s">
        <v>59</v>
      </c>
      <c r="Q39" t="s">
        <v>137</v>
      </c>
      <c r="R39">
        <v>105</v>
      </c>
      <c r="S39">
        <v>17.2</v>
      </c>
      <c r="V39" s="5">
        <v>78</v>
      </c>
      <c r="W39" s="5">
        <v>12</v>
      </c>
      <c r="X39" s="5">
        <v>10</v>
      </c>
      <c r="Y39" s="5">
        <v>1</v>
      </c>
      <c r="Z39" t="s">
        <v>52</v>
      </c>
      <c r="AA39" t="s">
        <v>62</v>
      </c>
      <c r="AB39">
        <v>5</v>
      </c>
      <c r="AC39">
        <v>35.5</v>
      </c>
      <c r="AE39" s="6">
        <v>0.58599999999999997</v>
      </c>
      <c r="AF39" s="6">
        <v>0.53400000000000003</v>
      </c>
      <c r="AG39" s="6">
        <v>3.66</v>
      </c>
      <c r="AH39" s="6">
        <v>55</v>
      </c>
      <c r="AI39">
        <v>47.2333</v>
      </c>
      <c r="AJ39">
        <v>11.3</v>
      </c>
      <c r="AK39" t="s">
        <v>140</v>
      </c>
      <c r="AL39">
        <v>8.7938585038928796</v>
      </c>
      <c r="AM39">
        <v>0.36003352772448199</v>
      </c>
      <c r="AN39">
        <v>1273.05</v>
      </c>
      <c r="AO39">
        <v>424.35</v>
      </c>
      <c r="AP39">
        <v>203.262151488364</v>
      </c>
      <c r="AR39">
        <v>0.425517407933097</v>
      </c>
      <c r="AS39">
        <v>0.450743668870278</v>
      </c>
      <c r="AT39">
        <v>11.060485871895599</v>
      </c>
      <c r="AU39">
        <v>0.51538534700413297</v>
      </c>
      <c r="AV39">
        <v>401.12751452080897</v>
      </c>
      <c r="AX39">
        <v>0.73408521349691302</v>
      </c>
      <c r="AY39">
        <v>0.45041693980728298</v>
      </c>
      <c r="AZ39">
        <v>3.4986793732277799</v>
      </c>
      <c r="BA39">
        <v>0.26101485631086702</v>
      </c>
      <c r="BB39">
        <v>2065.19</v>
      </c>
      <c r="BC39">
        <v>688.39666666666596</v>
      </c>
      <c r="BD39">
        <v>150.28213944001601</v>
      </c>
      <c r="BF39">
        <v>0.38715924420349102</v>
      </c>
      <c r="BG39">
        <v>0.47137040348633302</v>
      </c>
      <c r="BH39">
        <v>5.38542101543581</v>
      </c>
      <c r="BI39">
        <v>0.36318438616998</v>
      </c>
      <c r="BJ39">
        <v>302.62524486294598</v>
      </c>
      <c r="BL39">
        <v>0.60844947442569897</v>
      </c>
      <c r="BM39">
        <v>0.47121641866972402</v>
      </c>
    </row>
    <row r="40" spans="1:65" x14ac:dyDescent="0.25">
      <c r="A40" t="s">
        <v>139</v>
      </c>
      <c r="B40">
        <v>46.74</v>
      </c>
      <c r="C40">
        <v>10.690861111111101</v>
      </c>
      <c r="D40" s="1" t="s">
        <v>141</v>
      </c>
      <c r="E40" t="s">
        <v>142</v>
      </c>
      <c r="F40" t="s">
        <v>118</v>
      </c>
      <c r="G40">
        <v>0.42899999999999999</v>
      </c>
      <c r="H40">
        <v>15.405641076317499</v>
      </c>
      <c r="I40">
        <v>-9.4714852664953195</v>
      </c>
      <c r="J40">
        <v>4</v>
      </c>
      <c r="K40">
        <v>70</v>
      </c>
      <c r="M40">
        <v>2100</v>
      </c>
      <c r="N40">
        <v>0.83394120289777196</v>
      </c>
      <c r="O40">
        <v>677.59533246654496</v>
      </c>
      <c r="P40" t="s">
        <v>59</v>
      </c>
      <c r="Q40" t="s">
        <v>137</v>
      </c>
      <c r="R40">
        <v>105</v>
      </c>
      <c r="S40">
        <v>17.2</v>
      </c>
      <c r="V40" s="5">
        <v>78</v>
      </c>
      <c r="W40" s="5">
        <v>12</v>
      </c>
      <c r="X40" s="5">
        <v>10</v>
      </c>
      <c r="Y40" s="5">
        <v>1</v>
      </c>
      <c r="Z40" t="s">
        <v>52</v>
      </c>
      <c r="AA40" t="s">
        <v>62</v>
      </c>
      <c r="AB40">
        <v>5</v>
      </c>
      <c r="AC40">
        <v>31.05</v>
      </c>
      <c r="AE40" s="6">
        <v>0.54700000000000004</v>
      </c>
      <c r="AF40" s="6">
        <v>0.22389999999999999</v>
      </c>
      <c r="AG40" s="6">
        <v>3.34</v>
      </c>
      <c r="AH40" s="6">
        <v>35</v>
      </c>
      <c r="AI40">
        <v>47.2333</v>
      </c>
      <c r="AJ40">
        <v>11.3</v>
      </c>
      <c r="AK40" t="s">
        <v>143</v>
      </c>
      <c r="AL40">
        <v>8.7938585038928796</v>
      </c>
      <c r="AM40">
        <v>0.36003352772448199</v>
      </c>
      <c r="AN40">
        <v>1273.05</v>
      </c>
      <c r="AO40">
        <v>424.35</v>
      </c>
      <c r="AP40">
        <v>203.262151488364</v>
      </c>
      <c r="AR40">
        <v>0.425517407933097</v>
      </c>
      <c r="AS40">
        <v>0.450743668870278</v>
      </c>
      <c r="AT40">
        <v>11.060485871895599</v>
      </c>
      <c r="AU40">
        <v>0.51538534700413297</v>
      </c>
      <c r="AV40">
        <v>401.12751452080897</v>
      </c>
      <c r="AX40">
        <v>0.73408521349691302</v>
      </c>
      <c r="AY40">
        <v>0.45041693980728298</v>
      </c>
      <c r="AZ40">
        <v>3.4986793732277799</v>
      </c>
      <c r="BA40">
        <v>0.26101485631086702</v>
      </c>
      <c r="BB40">
        <v>2065.19</v>
      </c>
      <c r="BC40">
        <v>688.39666666666596</v>
      </c>
      <c r="BD40">
        <v>150.28213944001601</v>
      </c>
      <c r="BF40">
        <v>0.38715924420349102</v>
      </c>
      <c r="BG40">
        <v>0.47137040348633302</v>
      </c>
      <c r="BH40">
        <v>5.38542101543581</v>
      </c>
      <c r="BI40">
        <v>0.36318438616998</v>
      </c>
      <c r="BJ40">
        <v>302.62524486294598</v>
      </c>
      <c r="BL40">
        <v>0.60844947442569897</v>
      </c>
      <c r="BM40">
        <v>0.47121641866972402</v>
      </c>
    </row>
    <row r="41" spans="1:65" x14ac:dyDescent="0.25">
      <c r="A41" t="s">
        <v>144</v>
      </c>
      <c r="B41">
        <v>46.677720000000001</v>
      </c>
      <c r="C41">
        <v>10.57808</v>
      </c>
      <c r="D41" s="1" t="s">
        <v>134</v>
      </c>
      <c r="E41" t="s">
        <v>135</v>
      </c>
      <c r="F41" t="s">
        <v>118</v>
      </c>
      <c r="G41">
        <v>0.125</v>
      </c>
      <c r="H41">
        <v>11.713197945588799</v>
      </c>
      <c r="I41">
        <v>-9.0312431332588492</v>
      </c>
      <c r="J41">
        <v>6</v>
      </c>
      <c r="K41">
        <v>50</v>
      </c>
      <c r="M41">
        <v>1160</v>
      </c>
      <c r="N41">
        <v>6.5364646991191098</v>
      </c>
      <c r="O41">
        <v>583.89846906010996</v>
      </c>
      <c r="P41" t="s">
        <v>59</v>
      </c>
      <c r="Q41" t="s">
        <v>60</v>
      </c>
      <c r="R41">
        <v>47</v>
      </c>
      <c r="S41">
        <v>18</v>
      </c>
      <c r="V41" s="5">
        <v>55</v>
      </c>
      <c r="W41" s="5">
        <v>7</v>
      </c>
      <c r="X41" s="5">
        <v>38</v>
      </c>
      <c r="Y41" s="5">
        <v>1</v>
      </c>
      <c r="Z41" t="s">
        <v>52</v>
      </c>
      <c r="AA41" t="s">
        <v>62</v>
      </c>
      <c r="AB41">
        <v>5</v>
      </c>
      <c r="AC41">
        <v>34.849999999999902</v>
      </c>
      <c r="AE41" s="6">
        <v>0.58599999999999997</v>
      </c>
      <c r="AF41" s="6">
        <v>0.53400000000000003</v>
      </c>
      <c r="AG41" s="6">
        <v>3.66</v>
      </c>
      <c r="AH41" s="6">
        <v>55</v>
      </c>
      <c r="AI41">
        <v>47.2333</v>
      </c>
      <c r="AJ41">
        <v>11.3</v>
      </c>
      <c r="AK41" t="s">
        <v>145</v>
      </c>
      <c r="AL41">
        <v>15.011981483766</v>
      </c>
      <c r="AM41">
        <v>0.66260358323973501</v>
      </c>
      <c r="AN41">
        <v>1029.9100000000001</v>
      </c>
      <c r="AO41">
        <v>343.303333333333</v>
      </c>
      <c r="AP41">
        <v>236.63164336722301</v>
      </c>
      <c r="AR41">
        <v>1.0639657625086201</v>
      </c>
      <c r="AS41">
        <v>0.10523070227841699</v>
      </c>
      <c r="AT41">
        <v>16.8532739831988</v>
      </c>
      <c r="AU41">
        <v>0.84969358037459697</v>
      </c>
      <c r="AV41">
        <v>464.60704699981801</v>
      </c>
      <c r="AX41">
        <v>1.067215190185</v>
      </c>
      <c r="AY41">
        <v>0.105473217201937</v>
      </c>
      <c r="AZ41">
        <v>9.4092667885815899</v>
      </c>
      <c r="BA41">
        <v>0.46445230432595302</v>
      </c>
      <c r="BB41">
        <v>1758.21</v>
      </c>
      <c r="BC41">
        <v>586.07000000000005</v>
      </c>
      <c r="BD41">
        <v>172.067812331873</v>
      </c>
      <c r="BF41">
        <v>1.1335942275329101</v>
      </c>
      <c r="BG41">
        <v>0.119955982254416</v>
      </c>
      <c r="BH41">
        <v>10.963885920302401</v>
      </c>
      <c r="BI41">
        <v>0.59329461786679605</v>
      </c>
      <c r="BJ41">
        <v>345.44916829461403</v>
      </c>
      <c r="BL41">
        <v>1.1393379801855501</v>
      </c>
      <c r="BM41">
        <v>0.120111178802993</v>
      </c>
    </row>
    <row r="42" spans="1:65" x14ac:dyDescent="0.25">
      <c r="A42" t="s">
        <v>146</v>
      </c>
      <c r="B42">
        <v>45.82376</v>
      </c>
      <c r="C42">
        <v>7.5608899999999997</v>
      </c>
      <c r="D42" s="1" t="s">
        <v>134</v>
      </c>
      <c r="E42" t="s">
        <v>135</v>
      </c>
      <c r="F42" t="s">
        <v>49</v>
      </c>
      <c r="G42">
        <v>0.16600000000000001</v>
      </c>
      <c r="H42">
        <v>0.471288454943874</v>
      </c>
      <c r="I42">
        <v>-3.3846022799519901</v>
      </c>
      <c r="J42">
        <v>4</v>
      </c>
      <c r="K42">
        <v>100</v>
      </c>
      <c r="L42">
        <v>15</v>
      </c>
      <c r="M42">
        <v>2100</v>
      </c>
      <c r="N42">
        <v>2.1267126867852402</v>
      </c>
      <c r="O42">
        <v>754.65073730829499</v>
      </c>
      <c r="P42" t="s">
        <v>136</v>
      </c>
      <c r="Q42" t="s">
        <v>51</v>
      </c>
      <c r="R42">
        <v>120</v>
      </c>
      <c r="S42">
        <v>10</v>
      </c>
      <c r="T42">
        <v>390</v>
      </c>
      <c r="U42">
        <v>1.9</v>
      </c>
      <c r="V42" s="5">
        <v>80</v>
      </c>
      <c r="W42" s="5">
        <v>3</v>
      </c>
      <c r="X42" s="5">
        <v>17</v>
      </c>
      <c r="Y42" s="5">
        <v>1</v>
      </c>
      <c r="Z42" t="s">
        <v>52</v>
      </c>
      <c r="AA42" t="s">
        <v>147</v>
      </c>
      <c r="AB42">
        <v>5</v>
      </c>
      <c r="AC42">
        <v>28.85</v>
      </c>
      <c r="AD42">
        <v>136.34483294619099</v>
      </c>
      <c r="AE42" s="6">
        <v>0.58599999999999997</v>
      </c>
      <c r="AF42" s="6">
        <v>0.53400000000000003</v>
      </c>
      <c r="AG42" s="6">
        <v>3.66</v>
      </c>
      <c r="AH42" s="6">
        <v>55</v>
      </c>
      <c r="AI42">
        <v>47.2333</v>
      </c>
      <c r="AJ42">
        <v>11.3</v>
      </c>
      <c r="AK42" t="s">
        <v>140</v>
      </c>
      <c r="AL42">
        <v>10.065807426124501</v>
      </c>
      <c r="AM42">
        <v>0.43769061376630802</v>
      </c>
      <c r="AN42">
        <v>1498.4</v>
      </c>
      <c r="AO42">
        <v>749.2</v>
      </c>
      <c r="AP42">
        <v>241.939528952225</v>
      </c>
      <c r="AQ42">
        <v>351.91325422315998</v>
      </c>
      <c r="AR42">
        <v>1.60212132028058</v>
      </c>
      <c r="AS42">
        <v>0.16479104848203999</v>
      </c>
      <c r="AT42">
        <v>11.261551114808</v>
      </c>
      <c r="AU42">
        <v>0.51839348799588103</v>
      </c>
      <c r="AV42">
        <v>470.792136648444</v>
      </c>
      <c r="AW42">
        <v>382.80792721094298</v>
      </c>
      <c r="AX42">
        <v>1.9154719549664201</v>
      </c>
      <c r="AY42">
        <v>0.16444576128549299</v>
      </c>
      <c r="AZ42">
        <v>5.3489525015815103</v>
      </c>
      <c r="BA42">
        <v>0.36972016553959502</v>
      </c>
      <c r="BB42">
        <v>2128.8000000000002</v>
      </c>
      <c r="BC42">
        <v>1064.4000000000001</v>
      </c>
      <c r="BD42">
        <v>181.05510455336699</v>
      </c>
      <c r="BE42">
        <v>262.31410614098701</v>
      </c>
      <c r="BF42">
        <v>1.5160228760948</v>
      </c>
      <c r="BG42">
        <v>0.20251882865996401</v>
      </c>
      <c r="BH42">
        <v>6.8392686126652897</v>
      </c>
      <c r="BI42">
        <v>0.44662992474116098</v>
      </c>
      <c r="BJ42">
        <v>376.460306594288</v>
      </c>
      <c r="BK42">
        <v>283.06758343157998</v>
      </c>
      <c r="BL42">
        <v>1.74240000136399</v>
      </c>
      <c r="BM42">
        <v>0.20168856416707401</v>
      </c>
    </row>
    <row r="43" spans="1:65" x14ac:dyDescent="0.25">
      <c r="A43" t="s">
        <v>262</v>
      </c>
      <c r="B43">
        <v>-36.7958</v>
      </c>
      <c r="C43">
        <v>174.49029999999999</v>
      </c>
      <c r="D43" s="1" t="s">
        <v>263</v>
      </c>
      <c r="E43" t="s">
        <v>264</v>
      </c>
      <c r="F43" t="s">
        <v>49</v>
      </c>
      <c r="G43">
        <v>0.33</v>
      </c>
      <c r="H43">
        <v>7.9631884456066198</v>
      </c>
      <c r="I43">
        <v>0.54861519841304796</v>
      </c>
      <c r="J43">
        <v>6</v>
      </c>
      <c r="K43">
        <v>80</v>
      </c>
      <c r="L43">
        <v>94</v>
      </c>
      <c r="M43">
        <v>90</v>
      </c>
      <c r="N43">
        <v>14.974705810698</v>
      </c>
      <c r="O43">
        <v>1371.23432266804</v>
      </c>
      <c r="P43" t="s">
        <v>92</v>
      </c>
      <c r="Q43" t="s">
        <v>51</v>
      </c>
      <c r="R43">
        <v>300</v>
      </c>
      <c r="S43">
        <v>27</v>
      </c>
      <c r="T43">
        <v>770</v>
      </c>
      <c r="V43" s="5">
        <v>13.2</v>
      </c>
      <c r="W43" s="5">
        <v>71.2</v>
      </c>
      <c r="X43" s="5">
        <v>24.8</v>
      </c>
      <c r="Y43" s="5">
        <v>1</v>
      </c>
      <c r="Z43" t="s">
        <v>79</v>
      </c>
      <c r="AA43" t="s">
        <v>312</v>
      </c>
      <c r="AB43">
        <v>10</v>
      </c>
      <c r="AC43">
        <v>63</v>
      </c>
      <c r="AD43">
        <v>1028</v>
      </c>
      <c r="AE43" s="6">
        <v>0.59399999999999997</v>
      </c>
      <c r="AF43" s="6">
        <v>0.91</v>
      </c>
      <c r="AG43" s="6">
        <v>2.58</v>
      </c>
      <c r="AH43" s="6">
        <v>50</v>
      </c>
      <c r="AI43">
        <v>-37.426699999999997</v>
      </c>
      <c r="AJ43">
        <v>175.72</v>
      </c>
      <c r="AK43" t="s">
        <v>265</v>
      </c>
      <c r="AL43">
        <v>16.866711569869398</v>
      </c>
      <c r="AM43">
        <v>0.42764850809494098</v>
      </c>
      <c r="AN43">
        <v>1321.25</v>
      </c>
      <c r="AO43">
        <v>264.25</v>
      </c>
      <c r="AP43">
        <v>88.869847234798499</v>
      </c>
      <c r="AR43">
        <v>0.64113773469800905</v>
      </c>
      <c r="AS43">
        <v>0.41766561506915001</v>
      </c>
      <c r="AT43">
        <v>19.656838920985301</v>
      </c>
      <c r="AU43">
        <v>0.68767711934732301</v>
      </c>
      <c r="AV43">
        <v>175.24654945673601</v>
      </c>
      <c r="AX43">
        <v>0.97781051474951797</v>
      </c>
      <c r="AY43">
        <v>0.418225330407692</v>
      </c>
      <c r="AZ43">
        <v>13.7891233938473</v>
      </c>
      <c r="BA43">
        <v>0.317245779200855</v>
      </c>
      <c r="BB43">
        <v>5062.05</v>
      </c>
      <c r="BC43">
        <v>1012.41</v>
      </c>
      <c r="BD43">
        <v>66.561878083274706</v>
      </c>
      <c r="BF43">
        <v>0.60794502678510398</v>
      </c>
      <c r="BG43">
        <v>0.43326273181359098</v>
      </c>
      <c r="BH43">
        <v>16.0954926401613</v>
      </c>
      <c r="BI43">
        <v>0.47984045156441701</v>
      </c>
      <c r="BJ43">
        <v>131.15535416002899</v>
      </c>
      <c r="BL43">
        <v>0.87057175815447896</v>
      </c>
      <c r="BM43">
        <v>0.43324124191006702</v>
      </c>
    </row>
    <row r="44" spans="1:65" x14ac:dyDescent="0.25">
      <c r="A44" t="s">
        <v>148</v>
      </c>
      <c r="B44">
        <v>56.36</v>
      </c>
      <c r="C44">
        <v>92.95</v>
      </c>
      <c r="D44" s="1" t="s">
        <v>149</v>
      </c>
      <c r="E44" t="s">
        <v>150</v>
      </c>
      <c r="F44" t="s">
        <v>118</v>
      </c>
      <c r="G44">
        <v>0.128</v>
      </c>
      <c r="H44">
        <v>85.351791397510695</v>
      </c>
      <c r="I44">
        <v>-16.523290293538199</v>
      </c>
      <c r="J44">
        <v>4</v>
      </c>
      <c r="L44">
        <v>60</v>
      </c>
      <c r="M44">
        <v>243</v>
      </c>
      <c r="N44">
        <v>1.0936934129856</v>
      </c>
      <c r="O44">
        <v>410.41588453411202</v>
      </c>
      <c r="P44" t="s">
        <v>59</v>
      </c>
      <c r="Q44" t="s">
        <v>60</v>
      </c>
      <c r="R44">
        <v>50</v>
      </c>
      <c r="S44">
        <v>22</v>
      </c>
      <c r="T44">
        <v>2000</v>
      </c>
      <c r="V44" s="5">
        <v>37.46</v>
      </c>
      <c r="W44" s="5">
        <v>27.67</v>
      </c>
      <c r="X44" s="5">
        <v>34.869999999999997</v>
      </c>
      <c r="Y44" s="5">
        <v>2</v>
      </c>
      <c r="AA44" t="s">
        <v>312</v>
      </c>
      <c r="AB44">
        <v>10</v>
      </c>
      <c r="AC44">
        <v>19.739999999999998</v>
      </c>
      <c r="AE44" s="6">
        <v>0.48</v>
      </c>
      <c r="AF44" s="6">
        <v>1.5</v>
      </c>
      <c r="AG44" s="6">
        <v>4.7</v>
      </c>
      <c r="AI44">
        <v>45.33</v>
      </c>
      <c r="AJ44">
        <v>127.5</v>
      </c>
      <c r="AK44" t="s">
        <v>151</v>
      </c>
      <c r="AL44">
        <v>14.427717733647899</v>
      </c>
      <c r="AM44">
        <v>0.57978939186229395</v>
      </c>
      <c r="AN44">
        <v>511.8</v>
      </c>
      <c r="AO44">
        <v>255.9</v>
      </c>
      <c r="AP44">
        <v>163.63487768965899</v>
      </c>
      <c r="AS44">
        <v>0.14669298706541301</v>
      </c>
      <c r="AT44">
        <v>16.8805941149351</v>
      </c>
      <c r="AU44">
        <v>0.86429206137065795</v>
      </c>
      <c r="AV44">
        <v>311.25746146146201</v>
      </c>
      <c r="AY44">
        <v>0.14627287993891999</v>
      </c>
      <c r="AZ44">
        <v>1.8521101039647001</v>
      </c>
      <c r="BA44">
        <v>0.30865252868906601</v>
      </c>
      <c r="BB44">
        <v>558.79999999999995</v>
      </c>
      <c r="BC44">
        <v>186.266666666666</v>
      </c>
      <c r="BD44">
        <v>92.789271212421099</v>
      </c>
      <c r="BG44">
        <v>0.108875405125288</v>
      </c>
      <c r="BH44">
        <v>3.5811248700829399</v>
      </c>
      <c r="BI44">
        <v>0.450005942093685</v>
      </c>
      <c r="BJ44">
        <v>178.67107532805099</v>
      </c>
      <c r="BM44">
        <v>0.108705711978467</v>
      </c>
    </row>
    <row r="45" spans="1:65" x14ac:dyDescent="0.25">
      <c r="A45" t="s">
        <v>148</v>
      </c>
      <c r="B45">
        <v>56.36</v>
      </c>
      <c r="C45">
        <v>92.95</v>
      </c>
      <c r="D45" s="1" t="s">
        <v>152</v>
      </c>
      <c r="E45" t="s">
        <v>153</v>
      </c>
      <c r="F45" t="s">
        <v>118</v>
      </c>
      <c r="G45">
        <v>0.122</v>
      </c>
      <c r="H45">
        <v>101.72814672992899</v>
      </c>
      <c r="I45">
        <v>-13.568954143629</v>
      </c>
      <c r="J45">
        <v>3</v>
      </c>
      <c r="L45">
        <v>60</v>
      </c>
      <c r="M45">
        <v>243</v>
      </c>
      <c r="N45">
        <v>1.0936934129856</v>
      </c>
      <c r="O45">
        <v>410.41588453411202</v>
      </c>
      <c r="P45" t="s">
        <v>59</v>
      </c>
      <c r="Q45" t="s">
        <v>60</v>
      </c>
      <c r="R45">
        <v>50</v>
      </c>
      <c r="S45">
        <v>22</v>
      </c>
      <c r="T45">
        <v>2000</v>
      </c>
      <c r="V45" s="5">
        <v>37.46</v>
      </c>
      <c r="W45" s="5">
        <v>27.67</v>
      </c>
      <c r="X45" s="5">
        <v>34.869999999999997</v>
      </c>
      <c r="Y45" s="5">
        <v>2</v>
      </c>
      <c r="AA45" t="s">
        <v>312</v>
      </c>
      <c r="AB45">
        <v>10</v>
      </c>
      <c r="AC45">
        <v>18.14</v>
      </c>
      <c r="AE45" s="6">
        <v>0.72470000000000001</v>
      </c>
      <c r="AF45" s="6">
        <v>1</v>
      </c>
      <c r="AG45" s="6">
        <v>3.63</v>
      </c>
      <c r="AI45">
        <v>49.97</v>
      </c>
      <c r="AJ45">
        <v>85.62</v>
      </c>
      <c r="AK45" t="s">
        <v>154</v>
      </c>
      <c r="AL45">
        <v>14.427717733647899</v>
      </c>
      <c r="AM45">
        <v>0.57978939186229395</v>
      </c>
      <c r="AN45">
        <v>511.8</v>
      </c>
      <c r="AO45">
        <v>255.9</v>
      </c>
      <c r="AP45">
        <v>163.63487768965899</v>
      </c>
      <c r="AS45">
        <v>0.14669298706541301</v>
      </c>
      <c r="AT45">
        <v>16.8805941149351</v>
      </c>
      <c r="AU45">
        <v>0.86429206137065795</v>
      </c>
      <c r="AV45">
        <v>311.25746146146201</v>
      </c>
      <c r="AY45">
        <v>0.14627287993891999</v>
      </c>
      <c r="AZ45">
        <v>1.8521101039647001</v>
      </c>
      <c r="BA45">
        <v>0.30865252868906601</v>
      </c>
      <c r="BB45">
        <v>558.79999999999995</v>
      </c>
      <c r="BC45">
        <v>186.266666666666</v>
      </c>
      <c r="BD45">
        <v>92.789271212421099</v>
      </c>
      <c r="BG45">
        <v>0.108875405125288</v>
      </c>
      <c r="BH45">
        <v>3.5811248700829399</v>
      </c>
      <c r="BI45">
        <v>0.450005942093685</v>
      </c>
      <c r="BJ45">
        <v>178.67107532805099</v>
      </c>
      <c r="BM45">
        <v>0.108705711978467</v>
      </c>
    </row>
    <row r="46" spans="1:65" x14ac:dyDescent="0.25">
      <c r="A46" t="s">
        <v>148</v>
      </c>
      <c r="B46">
        <v>56.36</v>
      </c>
      <c r="C46">
        <v>92.95</v>
      </c>
      <c r="D46" s="1" t="s">
        <v>107</v>
      </c>
      <c r="E46" t="s">
        <v>155</v>
      </c>
      <c r="F46" t="s">
        <v>118</v>
      </c>
      <c r="G46">
        <v>0.121</v>
      </c>
      <c r="H46">
        <v>52.264113439071103</v>
      </c>
      <c r="I46">
        <v>-2.69572098154178</v>
      </c>
      <c r="J46">
        <v>3</v>
      </c>
      <c r="L46">
        <v>60</v>
      </c>
      <c r="M46">
        <v>243</v>
      </c>
      <c r="N46">
        <v>1.0936934129856</v>
      </c>
      <c r="O46">
        <v>410.41588453411202</v>
      </c>
      <c r="P46" t="s">
        <v>59</v>
      </c>
      <c r="Q46" t="s">
        <v>60</v>
      </c>
      <c r="R46">
        <v>50</v>
      </c>
      <c r="S46">
        <v>22</v>
      </c>
      <c r="T46">
        <v>2000</v>
      </c>
      <c r="V46" s="5">
        <v>37.46</v>
      </c>
      <c r="W46" s="5">
        <v>27.67</v>
      </c>
      <c r="X46" s="5">
        <v>34.869999999999997</v>
      </c>
      <c r="Y46" s="5">
        <v>2</v>
      </c>
      <c r="AA46" t="s">
        <v>312</v>
      </c>
      <c r="AB46">
        <v>10</v>
      </c>
      <c r="AC46">
        <v>24.51</v>
      </c>
      <c r="AE46" s="6">
        <v>0.38600000000000001</v>
      </c>
      <c r="AF46" s="6">
        <v>1.4</v>
      </c>
      <c r="AG46" s="6">
        <v>2.97</v>
      </c>
      <c r="AI46">
        <v>49.97</v>
      </c>
      <c r="AJ46">
        <v>85.62</v>
      </c>
      <c r="AK46" t="s">
        <v>154</v>
      </c>
      <c r="AL46">
        <v>14.427717733647899</v>
      </c>
      <c r="AM46">
        <v>0.57978939186229395</v>
      </c>
      <c r="AN46">
        <v>511.8</v>
      </c>
      <c r="AO46">
        <v>255.9</v>
      </c>
      <c r="AP46">
        <v>163.63487768965899</v>
      </c>
      <c r="AS46">
        <v>0.14669298706541301</v>
      </c>
      <c r="AT46">
        <v>16.8805941149351</v>
      </c>
      <c r="AU46">
        <v>0.86429206137065795</v>
      </c>
      <c r="AV46">
        <v>311.25746146146201</v>
      </c>
      <c r="AY46">
        <v>0.14627287993891999</v>
      </c>
      <c r="AZ46">
        <v>1.8521101039647001</v>
      </c>
      <c r="BA46">
        <v>0.30865252868906601</v>
      </c>
      <c r="BB46">
        <v>558.79999999999995</v>
      </c>
      <c r="BC46">
        <v>186.266666666666</v>
      </c>
      <c r="BD46">
        <v>92.789271212421099</v>
      </c>
      <c r="BG46">
        <v>0.108875405125288</v>
      </c>
      <c r="BH46">
        <v>3.5811248700829399</v>
      </c>
      <c r="BI46">
        <v>0.450005942093685</v>
      </c>
      <c r="BJ46">
        <v>178.67107532805099</v>
      </c>
      <c r="BM46">
        <v>0.108705711978467</v>
      </c>
    </row>
    <row r="47" spans="1:65" x14ac:dyDescent="0.25">
      <c r="A47" t="s">
        <v>156</v>
      </c>
      <c r="B47">
        <v>60.085999999999999</v>
      </c>
      <c r="C47">
        <v>17.48</v>
      </c>
      <c r="D47" s="1" t="s">
        <v>65</v>
      </c>
      <c r="E47" t="s">
        <v>66</v>
      </c>
      <c r="F47" t="s">
        <v>49</v>
      </c>
      <c r="G47">
        <v>0.17399999999999999</v>
      </c>
      <c r="H47">
        <v>3.4090005287693002</v>
      </c>
      <c r="I47">
        <v>-1.4478167006848</v>
      </c>
      <c r="J47">
        <v>18</v>
      </c>
      <c r="K47">
        <v>20.5</v>
      </c>
      <c r="L47">
        <v>37.700000000000003</v>
      </c>
      <c r="M47">
        <v>45</v>
      </c>
      <c r="N47">
        <v>6.1</v>
      </c>
      <c r="O47">
        <v>564.14924367993603</v>
      </c>
      <c r="P47" t="s">
        <v>50</v>
      </c>
      <c r="Q47" t="s">
        <v>60</v>
      </c>
      <c r="R47">
        <v>110</v>
      </c>
      <c r="S47">
        <v>27.2</v>
      </c>
      <c r="T47">
        <v>680</v>
      </c>
      <c r="U47">
        <v>4.55</v>
      </c>
      <c r="V47" s="5">
        <v>58.6</v>
      </c>
      <c r="W47" s="5">
        <v>5.8</v>
      </c>
      <c r="X47" s="5">
        <v>35.6</v>
      </c>
      <c r="Y47" s="5">
        <v>1</v>
      </c>
      <c r="Z47" t="s">
        <v>61</v>
      </c>
      <c r="AA47" t="s">
        <v>62</v>
      </c>
      <c r="AB47">
        <v>10</v>
      </c>
      <c r="AC47">
        <v>24.55</v>
      </c>
      <c r="AD47">
        <v>259.076884506792</v>
      </c>
      <c r="AE47" s="6">
        <v>0.55200000000000005</v>
      </c>
      <c r="AF47" s="6">
        <v>0.39</v>
      </c>
      <c r="AG47" s="6">
        <v>3.98</v>
      </c>
      <c r="AH47" s="6">
        <v>55</v>
      </c>
      <c r="AI47">
        <v>47.15</v>
      </c>
      <c r="AJ47">
        <v>11.1167</v>
      </c>
      <c r="AK47" t="s">
        <v>157</v>
      </c>
      <c r="AL47">
        <v>14.4695493815712</v>
      </c>
      <c r="AM47">
        <v>0.55154616288145397</v>
      </c>
      <c r="AN47">
        <v>992.36</v>
      </c>
      <c r="AO47">
        <v>165.393333333333</v>
      </c>
      <c r="AP47">
        <v>196.08605366846601</v>
      </c>
      <c r="AQ47">
        <v>219.16424423672899</v>
      </c>
      <c r="AR47">
        <v>2.40224883414407</v>
      </c>
      <c r="AS47">
        <v>0.18265806721462699</v>
      </c>
      <c r="AT47">
        <v>16.046737642189299</v>
      </c>
      <c r="AU47">
        <v>0.735699671086118</v>
      </c>
      <c r="AV47">
        <v>352.93501810986498</v>
      </c>
      <c r="AW47">
        <v>249.72295666238301</v>
      </c>
      <c r="AX47">
        <v>2.5518006701957501</v>
      </c>
      <c r="AY47">
        <v>0.18248704734002399</v>
      </c>
      <c r="AZ47">
        <v>6.6068153049000902</v>
      </c>
      <c r="BA47">
        <v>0.30519873039116402</v>
      </c>
      <c r="BB47">
        <v>1784.0233333333299</v>
      </c>
      <c r="BC47">
        <v>254.86047619047599</v>
      </c>
      <c r="BD47">
        <v>114.426584156269</v>
      </c>
      <c r="BE47">
        <v>136.94771774320799</v>
      </c>
      <c r="BF47">
        <v>2.5350172105228599</v>
      </c>
      <c r="BG47">
        <v>0.21444193635161701</v>
      </c>
      <c r="BH47">
        <v>7.6819187983892299</v>
      </c>
      <c r="BI47">
        <v>0.40095549117043</v>
      </c>
      <c r="BJ47">
        <v>214.581016846029</v>
      </c>
      <c r="BK47">
        <v>151.506917167513</v>
      </c>
      <c r="BL47">
        <v>2.6077973604153799</v>
      </c>
      <c r="BM47">
        <v>0.214068622623727</v>
      </c>
    </row>
    <row r="48" spans="1:65" x14ac:dyDescent="0.25">
      <c r="A48" t="s">
        <v>158</v>
      </c>
      <c r="B48">
        <v>60.082999999999998</v>
      </c>
      <c r="C48">
        <v>17.475999999999999</v>
      </c>
      <c r="D48" s="1" t="s">
        <v>97</v>
      </c>
      <c r="E48" t="s">
        <v>98</v>
      </c>
      <c r="F48" t="s">
        <v>49</v>
      </c>
      <c r="G48">
        <v>0.14099999999999999</v>
      </c>
      <c r="H48">
        <v>72.314719856832696</v>
      </c>
      <c r="I48">
        <v>-5.5230608705307596</v>
      </c>
      <c r="J48">
        <v>22</v>
      </c>
      <c r="K48">
        <v>57</v>
      </c>
      <c r="L48">
        <v>22</v>
      </c>
      <c r="M48">
        <v>45</v>
      </c>
      <c r="N48">
        <v>6.1</v>
      </c>
      <c r="O48">
        <v>564.14354609876102</v>
      </c>
      <c r="P48" t="s">
        <v>50</v>
      </c>
      <c r="Q48" t="s">
        <v>60</v>
      </c>
      <c r="R48">
        <v>50</v>
      </c>
      <c r="S48">
        <v>20</v>
      </c>
      <c r="T48">
        <v>703</v>
      </c>
      <c r="U48">
        <v>3.5</v>
      </c>
      <c r="V48" s="5">
        <v>43.63</v>
      </c>
      <c r="W48" s="5">
        <v>19.170000000000002</v>
      </c>
      <c r="X48" s="5">
        <v>37.200000000000003</v>
      </c>
      <c r="Y48" s="5">
        <v>2</v>
      </c>
      <c r="Z48" t="s">
        <v>61</v>
      </c>
      <c r="AA48" t="s">
        <v>93</v>
      </c>
      <c r="AB48">
        <v>10</v>
      </c>
      <c r="AC48">
        <v>20.45</v>
      </c>
      <c r="AD48">
        <v>192.95</v>
      </c>
      <c r="AE48" s="6">
        <v>0.47099999999999997</v>
      </c>
      <c r="AF48" s="6">
        <v>0.6</v>
      </c>
      <c r="AG48" s="6">
        <v>2.89</v>
      </c>
      <c r="AH48" s="6">
        <v>45</v>
      </c>
      <c r="AI48">
        <v>61.847999999999999</v>
      </c>
      <c r="AJ48">
        <v>24.295000000000002</v>
      </c>
      <c r="AK48" t="s">
        <v>99</v>
      </c>
      <c r="AL48">
        <v>13.6327697667029</v>
      </c>
      <c r="AM48">
        <v>0.48729559132925399</v>
      </c>
      <c r="AN48">
        <v>241.81</v>
      </c>
      <c r="AO48">
        <v>120.905</v>
      </c>
      <c r="AP48">
        <v>190.52026228142199</v>
      </c>
      <c r="AQ48">
        <v>272.42146316756998</v>
      </c>
      <c r="AR48">
        <v>1.50159036855482</v>
      </c>
      <c r="AS48">
        <v>0.15166654082774</v>
      </c>
      <c r="AT48">
        <v>15.526077614379</v>
      </c>
      <c r="AU48">
        <v>0.67122399965219404</v>
      </c>
      <c r="AV48">
        <v>354.43404470769701</v>
      </c>
      <c r="AW48">
        <v>315.72629686014898</v>
      </c>
      <c r="AX48">
        <v>1.7871940813362299</v>
      </c>
      <c r="AY48">
        <v>0.15166633109619601</v>
      </c>
      <c r="AZ48">
        <v>6.7373184207417802</v>
      </c>
      <c r="BA48">
        <v>0.26550441305276401</v>
      </c>
      <c r="BB48">
        <v>447.46</v>
      </c>
      <c r="BC48">
        <v>149.15333333333299</v>
      </c>
      <c r="BD48">
        <v>110.51452305849</v>
      </c>
      <c r="BE48">
        <v>165.738516208568</v>
      </c>
      <c r="BF48">
        <v>1.7700981857248901</v>
      </c>
      <c r="BG48">
        <v>0.15801147451741901</v>
      </c>
      <c r="BH48">
        <v>8.0047427513667007</v>
      </c>
      <c r="BI48">
        <v>0.36262269044052098</v>
      </c>
      <c r="BJ48">
        <v>207.46475296200299</v>
      </c>
      <c r="BK48">
        <v>187.11323430168</v>
      </c>
      <c r="BL48">
        <v>1.95638752863073</v>
      </c>
      <c r="BM48">
        <v>0.158017658535206</v>
      </c>
    </row>
    <row r="49" spans="1:65" x14ac:dyDescent="0.25">
      <c r="A49" t="s">
        <v>159</v>
      </c>
      <c r="B49">
        <v>60.082999999999998</v>
      </c>
      <c r="C49">
        <v>17.475999999999999</v>
      </c>
      <c r="D49" s="1" t="s">
        <v>65</v>
      </c>
      <c r="E49" t="s">
        <v>66</v>
      </c>
      <c r="F49" t="s">
        <v>49</v>
      </c>
      <c r="G49">
        <v>0.17599999999999999</v>
      </c>
      <c r="H49">
        <v>12.8835123419721</v>
      </c>
      <c r="I49">
        <v>-5.2390253621584897</v>
      </c>
      <c r="J49">
        <v>16</v>
      </c>
      <c r="K49">
        <v>33</v>
      </c>
      <c r="L49">
        <v>28.9</v>
      </c>
      <c r="M49">
        <v>45</v>
      </c>
      <c r="N49">
        <v>6.1</v>
      </c>
      <c r="O49">
        <v>564.14354609876102</v>
      </c>
      <c r="P49" t="s">
        <v>50</v>
      </c>
      <c r="Q49" t="s">
        <v>60</v>
      </c>
      <c r="R49">
        <v>50</v>
      </c>
      <c r="S49">
        <v>20</v>
      </c>
      <c r="T49">
        <v>872</v>
      </c>
      <c r="U49">
        <v>5</v>
      </c>
      <c r="V49" s="5">
        <v>43.63</v>
      </c>
      <c r="W49" s="5">
        <v>19.170000000000002</v>
      </c>
      <c r="X49" s="5">
        <v>37.200000000000003</v>
      </c>
      <c r="Y49" s="5">
        <v>2</v>
      </c>
      <c r="Z49" t="s">
        <v>61</v>
      </c>
      <c r="AA49" t="s">
        <v>93</v>
      </c>
      <c r="AB49">
        <v>10</v>
      </c>
      <c r="AC49">
        <v>20.100000000000001</v>
      </c>
      <c r="AD49">
        <v>225.8</v>
      </c>
      <c r="AE49" s="6">
        <v>0.55200000000000005</v>
      </c>
      <c r="AF49" s="6">
        <v>0.39</v>
      </c>
      <c r="AG49" s="6">
        <v>3.98</v>
      </c>
      <c r="AH49" s="6">
        <v>55</v>
      </c>
      <c r="AI49">
        <v>47.15</v>
      </c>
      <c r="AJ49">
        <v>11.1167</v>
      </c>
      <c r="AK49" t="s">
        <v>157</v>
      </c>
      <c r="AL49">
        <v>13.1398103244972</v>
      </c>
      <c r="AM49">
        <v>0.42442062695150701</v>
      </c>
      <c r="AN49">
        <v>618.43450499999994</v>
      </c>
      <c r="AO49">
        <v>206.144835</v>
      </c>
      <c r="AP49">
        <v>177.17154771932701</v>
      </c>
      <c r="AQ49">
        <v>253.776288158395</v>
      </c>
      <c r="AR49">
        <v>1.5102109438848501</v>
      </c>
      <c r="AS49">
        <v>0.16987891989369699</v>
      </c>
      <c r="AT49">
        <v>14.889363525814501</v>
      </c>
      <c r="AU49">
        <v>0.58624963434356703</v>
      </c>
      <c r="AV49">
        <v>331.84470490835997</v>
      </c>
      <c r="AW49">
        <v>294.760486313515</v>
      </c>
      <c r="AX49">
        <v>1.7812481470374999</v>
      </c>
      <c r="AY49">
        <v>0.169634786439604</v>
      </c>
      <c r="AZ49">
        <v>6.4920703277156697</v>
      </c>
      <c r="BA49">
        <v>0.24226278981146801</v>
      </c>
      <c r="BB49">
        <v>924.01329999999996</v>
      </c>
      <c r="BC49">
        <v>231.00332499999999</v>
      </c>
      <c r="BD49">
        <v>101.46979093869901</v>
      </c>
      <c r="BE49">
        <v>156.83722292413199</v>
      </c>
      <c r="BF49">
        <v>1.7068113987234199</v>
      </c>
      <c r="BG49">
        <v>0.176606640372168</v>
      </c>
      <c r="BH49">
        <v>7.71897965680943</v>
      </c>
      <c r="BI49">
        <v>0.33114709890598798</v>
      </c>
      <c r="BJ49">
        <v>196.51381086806899</v>
      </c>
      <c r="BK49">
        <v>177.153076855893</v>
      </c>
      <c r="BL49">
        <v>1.88395936997408</v>
      </c>
      <c r="BM49">
        <v>0.17642826783246501</v>
      </c>
    </row>
    <row r="50" spans="1:65" x14ac:dyDescent="0.25">
      <c r="A50" t="s">
        <v>159</v>
      </c>
      <c r="B50">
        <v>60.082999999999998</v>
      </c>
      <c r="C50">
        <v>17.475999999999999</v>
      </c>
      <c r="D50" s="1" t="s">
        <v>97</v>
      </c>
      <c r="E50" t="s">
        <v>98</v>
      </c>
      <c r="F50" t="s">
        <v>49</v>
      </c>
      <c r="G50">
        <v>0.192</v>
      </c>
      <c r="H50">
        <v>24.988298769104102</v>
      </c>
      <c r="I50">
        <v>-26.540080349460698</v>
      </c>
      <c r="J50">
        <v>17</v>
      </c>
      <c r="K50">
        <v>64</v>
      </c>
      <c r="L50">
        <v>28.9</v>
      </c>
      <c r="M50">
        <v>45</v>
      </c>
      <c r="N50">
        <v>6.1</v>
      </c>
      <c r="O50">
        <v>564.14354609876102</v>
      </c>
      <c r="P50" t="s">
        <v>50</v>
      </c>
      <c r="Q50" t="s">
        <v>60</v>
      </c>
      <c r="R50">
        <v>50</v>
      </c>
      <c r="S50">
        <v>20</v>
      </c>
      <c r="T50">
        <v>872</v>
      </c>
      <c r="U50">
        <v>5</v>
      </c>
      <c r="V50" s="5">
        <v>43.63</v>
      </c>
      <c r="W50" s="5">
        <v>19.170000000000002</v>
      </c>
      <c r="X50" s="5">
        <v>37.200000000000003</v>
      </c>
      <c r="Y50" s="5">
        <v>2</v>
      </c>
      <c r="Z50" t="s">
        <v>61</v>
      </c>
      <c r="AA50" t="s">
        <v>93</v>
      </c>
      <c r="AB50">
        <v>10</v>
      </c>
      <c r="AC50">
        <v>20.8</v>
      </c>
      <c r="AD50">
        <v>250.4</v>
      </c>
      <c r="AE50" s="6">
        <v>0.47099999999999997</v>
      </c>
      <c r="AF50" s="6">
        <v>0.6</v>
      </c>
      <c r="AG50" s="6">
        <v>2.89</v>
      </c>
      <c r="AH50" s="6">
        <v>45</v>
      </c>
      <c r="AI50">
        <v>61.847999999999999</v>
      </c>
      <c r="AJ50">
        <v>24.295000000000002</v>
      </c>
      <c r="AK50" t="s">
        <v>99</v>
      </c>
      <c r="AL50">
        <v>13.1398103244972</v>
      </c>
      <c r="AM50">
        <v>0.42442062695150701</v>
      </c>
      <c r="AN50">
        <v>618.43450499999994</v>
      </c>
      <c r="AO50">
        <v>206.144835</v>
      </c>
      <c r="AP50">
        <v>177.17154771932701</v>
      </c>
      <c r="AQ50">
        <v>253.776288158395</v>
      </c>
      <c r="AR50">
        <v>1.5102109438848501</v>
      </c>
      <c r="AS50">
        <v>0.16987891989369699</v>
      </c>
      <c r="AT50">
        <v>14.889363525814501</v>
      </c>
      <c r="AU50">
        <v>0.58624963434356703</v>
      </c>
      <c r="AV50">
        <v>331.84470490835997</v>
      </c>
      <c r="AW50">
        <v>294.760486313515</v>
      </c>
      <c r="AX50">
        <v>1.7812481470374999</v>
      </c>
      <c r="AY50">
        <v>0.169634786439604</v>
      </c>
      <c r="AZ50">
        <v>6.4920703277156697</v>
      </c>
      <c r="BA50">
        <v>0.24226278981146801</v>
      </c>
      <c r="BB50">
        <v>924.01329999999996</v>
      </c>
      <c r="BC50">
        <v>231.00332499999999</v>
      </c>
      <c r="BD50">
        <v>101.46979093869901</v>
      </c>
      <c r="BE50">
        <v>156.83722292413199</v>
      </c>
      <c r="BF50">
        <v>1.7068113987234199</v>
      </c>
      <c r="BG50">
        <v>0.176606640372168</v>
      </c>
      <c r="BH50">
        <v>7.71897965680943</v>
      </c>
      <c r="BI50">
        <v>0.33114709890598798</v>
      </c>
      <c r="BJ50">
        <v>196.51381086806899</v>
      </c>
      <c r="BK50">
        <v>177.153076855893</v>
      </c>
      <c r="BL50">
        <v>1.88395936997408</v>
      </c>
      <c r="BM50">
        <v>0.17642826783246501</v>
      </c>
    </row>
    <row r="51" spans="1:65" x14ac:dyDescent="0.25">
      <c r="A51" t="s">
        <v>266</v>
      </c>
      <c r="B51">
        <v>15.273</v>
      </c>
      <c r="C51">
        <v>103.081</v>
      </c>
      <c r="D51" s="1" t="s">
        <v>267</v>
      </c>
      <c r="E51" t="s">
        <v>268</v>
      </c>
      <c r="F51" t="s">
        <v>49</v>
      </c>
      <c r="G51">
        <v>0.17399999999999999</v>
      </c>
      <c r="H51">
        <v>2.3618944009860798</v>
      </c>
      <c r="I51">
        <v>0.65867029025968205</v>
      </c>
      <c r="J51">
        <v>6</v>
      </c>
      <c r="K51">
        <v>100</v>
      </c>
      <c r="L51">
        <v>12.5</v>
      </c>
      <c r="M51">
        <v>150</v>
      </c>
      <c r="N51">
        <v>27.206552734369399</v>
      </c>
      <c r="O51">
        <v>1178.00906878516</v>
      </c>
      <c r="P51" t="s">
        <v>71</v>
      </c>
      <c r="Q51" t="s">
        <v>124</v>
      </c>
      <c r="R51">
        <v>11</v>
      </c>
      <c r="S51">
        <v>15</v>
      </c>
      <c r="T51">
        <v>570</v>
      </c>
      <c r="U51">
        <v>3.9</v>
      </c>
      <c r="V51" s="5">
        <v>65</v>
      </c>
      <c r="W51" s="5">
        <v>10</v>
      </c>
      <c r="X51" s="5">
        <v>25</v>
      </c>
      <c r="Y51" s="5">
        <v>1</v>
      </c>
      <c r="Z51" t="s">
        <v>52</v>
      </c>
      <c r="AA51" t="s">
        <v>62</v>
      </c>
      <c r="AB51">
        <v>20</v>
      </c>
      <c r="AC51">
        <v>54.75</v>
      </c>
      <c r="AD51">
        <v>199</v>
      </c>
      <c r="AE51" s="6">
        <v>0.55000000000000004</v>
      </c>
      <c r="AF51" s="6">
        <v>1.89</v>
      </c>
      <c r="AG51" s="6">
        <v>1.93</v>
      </c>
      <c r="AH51" s="6">
        <v>30</v>
      </c>
      <c r="AI51" t="s">
        <v>269</v>
      </c>
      <c r="AJ51" t="s">
        <v>270</v>
      </c>
      <c r="AK51" t="s">
        <v>271</v>
      </c>
      <c r="AL51">
        <v>25.805315787319401</v>
      </c>
      <c r="AM51">
        <v>0.95740158888957105</v>
      </c>
      <c r="AN51">
        <v>1133.414</v>
      </c>
      <c r="AO51">
        <v>377.80466666666598</v>
      </c>
      <c r="AP51">
        <v>348.64942993246802</v>
      </c>
      <c r="AR51">
        <v>1.1243991454186499</v>
      </c>
      <c r="AS51">
        <v>0.12719595200210801</v>
      </c>
      <c r="AT51">
        <v>28.308343762185</v>
      </c>
      <c r="AU51">
        <v>1.46884128392166</v>
      </c>
      <c r="AV51">
        <v>464.28397336073402</v>
      </c>
      <c r="AX51">
        <v>1.5414154603805801</v>
      </c>
      <c r="AY51">
        <v>0.126927184123305</v>
      </c>
      <c r="AZ51">
        <v>25.805315787319401</v>
      </c>
      <c r="BA51">
        <v>0.95740158888957105</v>
      </c>
      <c r="BB51">
        <v>1133.414</v>
      </c>
      <c r="BC51">
        <v>377.80466666666598</v>
      </c>
      <c r="BD51">
        <v>348.64942993246802</v>
      </c>
      <c r="BF51">
        <v>1.1243991454186499</v>
      </c>
      <c r="BG51">
        <v>0.12719595200210801</v>
      </c>
      <c r="BH51">
        <v>28.308343762185</v>
      </c>
      <c r="BI51">
        <v>1.46884128392166</v>
      </c>
      <c r="BJ51">
        <v>464.28397336073402</v>
      </c>
      <c r="BL51">
        <v>1.5414154603805801</v>
      </c>
      <c r="BM51">
        <v>0.126927184123305</v>
      </c>
    </row>
    <row r="52" spans="1:65" x14ac:dyDescent="0.25">
      <c r="A52" t="s">
        <v>160</v>
      </c>
      <c r="B52">
        <v>36.978175</v>
      </c>
      <c r="C52">
        <v>-79.0941908333333</v>
      </c>
      <c r="D52" s="1" t="s">
        <v>161</v>
      </c>
      <c r="E52" t="s">
        <v>162</v>
      </c>
      <c r="F52" t="s">
        <v>49</v>
      </c>
      <c r="G52">
        <v>0.19400000000000001</v>
      </c>
      <c r="H52">
        <v>0.77954150735147498</v>
      </c>
      <c r="I52">
        <v>-0.13329640382152999</v>
      </c>
      <c r="J52">
        <v>5</v>
      </c>
      <c r="K52">
        <v>2.91</v>
      </c>
      <c r="L52">
        <v>27.13</v>
      </c>
      <c r="M52">
        <v>163</v>
      </c>
      <c r="N52">
        <v>14.5919595008216</v>
      </c>
      <c r="O52">
        <v>1189.0459452487801</v>
      </c>
      <c r="P52" t="s">
        <v>71</v>
      </c>
      <c r="Q52" t="s">
        <v>51</v>
      </c>
      <c r="R52">
        <v>90</v>
      </c>
      <c r="S52">
        <v>25</v>
      </c>
      <c r="U52">
        <v>7.03</v>
      </c>
      <c r="V52" s="5">
        <v>35.53</v>
      </c>
      <c r="W52" s="5">
        <v>27.47</v>
      </c>
      <c r="X52" s="5">
        <v>37</v>
      </c>
      <c r="Y52" s="5">
        <v>2</v>
      </c>
      <c r="Z52" t="s">
        <v>61</v>
      </c>
      <c r="AA52" t="s">
        <v>93</v>
      </c>
      <c r="AB52">
        <v>30</v>
      </c>
      <c r="AC52">
        <v>25.7</v>
      </c>
      <c r="AD52">
        <v>338.04928031490903</v>
      </c>
      <c r="AL52">
        <v>22.610728415430899</v>
      </c>
      <c r="AM52">
        <v>0.66339996514736499</v>
      </c>
      <c r="AN52">
        <v>1890.511338971</v>
      </c>
      <c r="AO52">
        <v>472.62783474275</v>
      </c>
      <c r="AP52">
        <v>35.214502427502097</v>
      </c>
      <c r="AQ52">
        <v>315.17912617831098</v>
      </c>
      <c r="AR52">
        <v>1.80627009775633</v>
      </c>
      <c r="AS52">
        <v>0.27519039329792999</v>
      </c>
      <c r="AT52">
        <v>25.060650710472899</v>
      </c>
      <c r="AU52">
        <v>0.98947440466602699</v>
      </c>
      <c r="AV52">
        <v>67.640445973783898</v>
      </c>
      <c r="AW52">
        <v>332.19336134323498</v>
      </c>
      <c r="AX52">
        <v>1.90217418760893</v>
      </c>
      <c r="AY52">
        <v>0.269960044079402</v>
      </c>
      <c r="AZ52">
        <v>15.1701990246842</v>
      </c>
      <c r="BA52">
        <v>0.54506804903416295</v>
      </c>
      <c r="BB52">
        <v>4364.4740028340002</v>
      </c>
      <c r="BC52">
        <v>872.89480056679997</v>
      </c>
      <c r="BD52">
        <v>27.378936359126701</v>
      </c>
      <c r="BE52">
        <v>261.99715992364497</v>
      </c>
      <c r="BF52">
        <v>2.1179920836017798</v>
      </c>
      <c r="BG52">
        <v>0.35395125715512799</v>
      </c>
      <c r="BH52">
        <v>17.5053775221247</v>
      </c>
      <c r="BI52">
        <v>0.78875639371444495</v>
      </c>
      <c r="BJ52">
        <v>52.466922979448</v>
      </c>
      <c r="BK52">
        <v>270.998496275864</v>
      </c>
      <c r="BL52">
        <v>2.2636138561669701</v>
      </c>
      <c r="BM52">
        <v>0.35303487343509099</v>
      </c>
    </row>
    <row r="53" spans="1:65" x14ac:dyDescent="0.25">
      <c r="A53" t="s">
        <v>160</v>
      </c>
      <c r="B53">
        <v>36.978175</v>
      </c>
      <c r="C53">
        <v>-79.0941908333333</v>
      </c>
      <c r="D53" s="1" t="s">
        <v>163</v>
      </c>
      <c r="E53" t="s">
        <v>164</v>
      </c>
      <c r="F53" t="s">
        <v>49</v>
      </c>
      <c r="G53">
        <v>0.28299999999999997</v>
      </c>
      <c r="H53">
        <v>1.6332601639740801E-2</v>
      </c>
      <c r="I53">
        <v>-2.0543829564819802E-2</v>
      </c>
      <c r="J53">
        <v>5</v>
      </c>
      <c r="K53">
        <v>0.52</v>
      </c>
      <c r="L53">
        <v>27.13</v>
      </c>
      <c r="M53">
        <v>163</v>
      </c>
      <c r="N53">
        <v>14.5919595008216</v>
      </c>
      <c r="O53">
        <v>1189.0459452487801</v>
      </c>
      <c r="P53" t="s">
        <v>71</v>
      </c>
      <c r="Q53" t="s">
        <v>51</v>
      </c>
      <c r="R53">
        <v>90</v>
      </c>
      <c r="S53">
        <v>25</v>
      </c>
      <c r="U53">
        <v>7.03</v>
      </c>
      <c r="V53" s="5">
        <v>35.53</v>
      </c>
      <c r="W53" s="5">
        <v>27.47</v>
      </c>
      <c r="X53" s="5">
        <v>37</v>
      </c>
      <c r="Y53" s="5">
        <v>2</v>
      </c>
      <c r="Z53" t="s">
        <v>61</v>
      </c>
      <c r="AA53" t="s">
        <v>93</v>
      </c>
      <c r="AB53">
        <v>30</v>
      </c>
      <c r="AC53">
        <v>31</v>
      </c>
      <c r="AD53">
        <v>238.367303901387</v>
      </c>
      <c r="AE53" s="6">
        <v>0.63439999999999996</v>
      </c>
      <c r="AF53" s="6">
        <v>1.37</v>
      </c>
      <c r="AG53" s="6">
        <v>1.37</v>
      </c>
      <c r="AH53" s="6">
        <v>30</v>
      </c>
      <c r="AI53">
        <v>36.0167</v>
      </c>
      <c r="AJ53">
        <v>-78.9833</v>
      </c>
      <c r="AK53" t="s">
        <v>167</v>
      </c>
      <c r="AL53">
        <v>22.610728415430899</v>
      </c>
      <c r="AM53">
        <v>0.66339996514736499</v>
      </c>
      <c r="AN53">
        <v>1890.511338971</v>
      </c>
      <c r="AO53">
        <v>472.62783474275</v>
      </c>
      <c r="AP53">
        <v>35.214502427502097</v>
      </c>
      <c r="AQ53">
        <v>315.17912617831098</v>
      </c>
      <c r="AR53">
        <v>1.80627009775633</v>
      </c>
      <c r="AS53">
        <v>0.27519039329792999</v>
      </c>
      <c r="AT53">
        <v>25.060650710472899</v>
      </c>
      <c r="AU53">
        <v>0.98947440466602699</v>
      </c>
      <c r="AV53">
        <v>67.640445973783898</v>
      </c>
      <c r="AW53">
        <v>332.19336134323498</v>
      </c>
      <c r="AX53">
        <v>1.90217418760893</v>
      </c>
      <c r="AY53">
        <v>0.269960044079402</v>
      </c>
      <c r="AZ53">
        <v>15.1701990246842</v>
      </c>
      <c r="BA53">
        <v>0.54506804903416295</v>
      </c>
      <c r="BB53">
        <v>4364.4740028340002</v>
      </c>
      <c r="BC53">
        <v>872.89480056679997</v>
      </c>
      <c r="BD53">
        <v>27.378936359126701</v>
      </c>
      <c r="BE53">
        <v>261.99715992364497</v>
      </c>
      <c r="BF53">
        <v>2.1179920836017798</v>
      </c>
      <c r="BG53">
        <v>0.35395125715512799</v>
      </c>
      <c r="BH53">
        <v>17.5053775221247</v>
      </c>
      <c r="BI53">
        <v>0.78875639371444495</v>
      </c>
      <c r="BJ53">
        <v>52.466922979448</v>
      </c>
      <c r="BK53">
        <v>270.998496275864</v>
      </c>
      <c r="BL53">
        <v>2.2636138561669701</v>
      </c>
      <c r="BM53">
        <v>0.35303487343509099</v>
      </c>
    </row>
    <row r="54" spans="1:65" x14ac:dyDescent="0.25">
      <c r="A54" t="s">
        <v>160</v>
      </c>
      <c r="B54">
        <v>36.978175</v>
      </c>
      <c r="C54">
        <v>-79.0941908333333</v>
      </c>
      <c r="D54" s="1" t="s">
        <v>272</v>
      </c>
      <c r="E54" t="s">
        <v>273</v>
      </c>
      <c r="F54" t="s">
        <v>49</v>
      </c>
      <c r="G54">
        <v>0.17699999999999999</v>
      </c>
      <c r="H54">
        <v>4.9224863635176398E-2</v>
      </c>
      <c r="I54">
        <v>7.1172815697384999E-3</v>
      </c>
      <c r="J54">
        <v>5</v>
      </c>
      <c r="K54">
        <v>0.59</v>
      </c>
      <c r="L54">
        <v>27.13</v>
      </c>
      <c r="M54">
        <v>163</v>
      </c>
      <c r="N54">
        <v>14.5919595008216</v>
      </c>
      <c r="O54">
        <v>1189.0459452487801</v>
      </c>
      <c r="P54" t="s">
        <v>71</v>
      </c>
      <c r="Q54" t="s">
        <v>51</v>
      </c>
      <c r="R54">
        <v>90</v>
      </c>
      <c r="S54">
        <v>25</v>
      </c>
      <c r="U54">
        <v>7.03</v>
      </c>
      <c r="V54" s="5">
        <v>35.53</v>
      </c>
      <c r="W54" s="5">
        <v>27.47</v>
      </c>
      <c r="X54" s="5">
        <v>37</v>
      </c>
      <c r="Y54" s="5">
        <v>2</v>
      </c>
      <c r="Z54" t="s">
        <v>61</v>
      </c>
      <c r="AA54" t="s">
        <v>93</v>
      </c>
      <c r="AB54">
        <v>30</v>
      </c>
      <c r="AC54">
        <v>30.16</v>
      </c>
      <c r="AD54">
        <v>227.260341452516</v>
      </c>
      <c r="AE54" s="6">
        <v>0.64</v>
      </c>
      <c r="AF54" s="6">
        <v>4.4000000000000004</v>
      </c>
      <c r="AG54" s="6">
        <v>1.7</v>
      </c>
      <c r="AK54" t="s">
        <v>274</v>
      </c>
      <c r="AL54">
        <v>22.610728415430899</v>
      </c>
      <c r="AM54">
        <v>0.66339996514736499</v>
      </c>
      <c r="AN54">
        <v>1890.511338971</v>
      </c>
      <c r="AO54">
        <v>472.62783474275</v>
      </c>
      <c r="AP54">
        <v>35.214502427502097</v>
      </c>
      <c r="AQ54">
        <v>315.17912617831098</v>
      </c>
      <c r="AR54">
        <v>1.80627009775633</v>
      </c>
      <c r="AS54">
        <v>0.27519039329792999</v>
      </c>
      <c r="AT54">
        <v>25.060650710472899</v>
      </c>
      <c r="AU54">
        <v>0.98947440466602699</v>
      </c>
      <c r="AV54">
        <v>67.640445973783898</v>
      </c>
      <c r="AW54">
        <v>332.19336134323498</v>
      </c>
      <c r="AX54">
        <v>1.90217418760893</v>
      </c>
      <c r="AY54">
        <v>0.269960044079402</v>
      </c>
      <c r="AZ54">
        <v>15.1701990246842</v>
      </c>
      <c r="BA54">
        <v>0.54506804903416295</v>
      </c>
      <c r="BB54">
        <v>4364.4740028340002</v>
      </c>
      <c r="BC54">
        <v>872.89480056679997</v>
      </c>
      <c r="BD54">
        <v>27.378936359126701</v>
      </c>
      <c r="BE54">
        <v>261.99715992364497</v>
      </c>
      <c r="BF54">
        <v>2.1179920836017798</v>
      </c>
      <c r="BG54">
        <v>0.35395125715512799</v>
      </c>
      <c r="BH54">
        <v>17.5053775221247</v>
      </c>
      <c r="BI54">
        <v>0.78875639371444495</v>
      </c>
      <c r="BJ54">
        <v>52.466922979448</v>
      </c>
      <c r="BK54">
        <v>270.998496275864</v>
      </c>
      <c r="BL54">
        <v>2.2636138561669701</v>
      </c>
      <c r="BM54">
        <v>0.35303487343509099</v>
      </c>
    </row>
    <row r="55" spans="1:65" x14ac:dyDescent="0.25">
      <c r="A55" t="s">
        <v>160</v>
      </c>
      <c r="B55">
        <v>36.978175</v>
      </c>
      <c r="C55">
        <v>-79.0941908333333</v>
      </c>
      <c r="D55" s="1" t="s">
        <v>165</v>
      </c>
      <c r="E55" t="s">
        <v>166</v>
      </c>
      <c r="F55" t="s">
        <v>49</v>
      </c>
      <c r="G55">
        <v>0.2</v>
      </c>
      <c r="H55">
        <v>1.8867716956999899E-2</v>
      </c>
      <c r="I55">
        <v>-6.7151470768912003E-3</v>
      </c>
      <c r="J55">
        <v>5</v>
      </c>
      <c r="K55">
        <v>0.27</v>
      </c>
      <c r="L55">
        <v>27.13</v>
      </c>
      <c r="M55">
        <v>163</v>
      </c>
      <c r="N55">
        <v>14.5919595008216</v>
      </c>
      <c r="O55">
        <v>1189.0459452487801</v>
      </c>
      <c r="P55" t="s">
        <v>71</v>
      </c>
      <c r="Q55" t="s">
        <v>51</v>
      </c>
      <c r="R55">
        <v>90</v>
      </c>
      <c r="S55">
        <v>25</v>
      </c>
      <c r="U55">
        <v>7.03</v>
      </c>
      <c r="V55" s="5">
        <v>35.53</v>
      </c>
      <c r="W55" s="5">
        <v>27.47</v>
      </c>
      <c r="X55" s="5">
        <v>37</v>
      </c>
      <c r="Y55" s="5">
        <v>2</v>
      </c>
      <c r="Z55" t="s">
        <v>61</v>
      </c>
      <c r="AA55" t="s">
        <v>93</v>
      </c>
      <c r="AB55">
        <v>30</v>
      </c>
      <c r="AC55">
        <v>44.44</v>
      </c>
      <c r="AD55">
        <v>433.329050433411</v>
      </c>
      <c r="AE55" s="6">
        <v>0.68200000000000005</v>
      </c>
      <c r="AF55" s="6">
        <v>1.35</v>
      </c>
      <c r="AG55" s="6">
        <v>1.42</v>
      </c>
      <c r="AH55" s="6">
        <v>39</v>
      </c>
      <c r="AI55">
        <v>36.0167</v>
      </c>
      <c r="AJ55">
        <v>-78.9833</v>
      </c>
      <c r="AK55" t="s">
        <v>167</v>
      </c>
      <c r="AL55">
        <v>22.610728415430899</v>
      </c>
      <c r="AM55">
        <v>0.66339996514736499</v>
      </c>
      <c r="AN55">
        <v>1890.511338971</v>
      </c>
      <c r="AO55">
        <v>472.62783474275</v>
      </c>
      <c r="AP55">
        <v>35.214502427502097</v>
      </c>
      <c r="AQ55">
        <v>315.17912617831098</v>
      </c>
      <c r="AR55">
        <v>1.80627009775633</v>
      </c>
      <c r="AS55">
        <v>0.27519039329792999</v>
      </c>
      <c r="AT55">
        <v>25.060650710472899</v>
      </c>
      <c r="AU55">
        <v>0.98947440466602699</v>
      </c>
      <c r="AV55">
        <v>67.640445973783898</v>
      </c>
      <c r="AW55">
        <v>332.19336134323498</v>
      </c>
      <c r="AX55">
        <v>1.90217418760893</v>
      </c>
      <c r="AY55">
        <v>0.269960044079402</v>
      </c>
      <c r="AZ55">
        <v>15.1701990246842</v>
      </c>
      <c r="BA55">
        <v>0.54506804903416295</v>
      </c>
      <c r="BB55">
        <v>4364.4740028340002</v>
      </c>
      <c r="BC55">
        <v>872.89480056679997</v>
      </c>
      <c r="BD55">
        <v>27.378936359126701</v>
      </c>
      <c r="BE55">
        <v>261.99715992364497</v>
      </c>
      <c r="BF55">
        <v>2.1179920836017798</v>
      </c>
      <c r="BG55">
        <v>0.35395125715512799</v>
      </c>
      <c r="BH55">
        <v>17.5053775221247</v>
      </c>
      <c r="BI55">
        <v>0.78875639371444495</v>
      </c>
      <c r="BJ55">
        <v>52.466922979448</v>
      </c>
      <c r="BK55">
        <v>270.998496275864</v>
      </c>
      <c r="BL55">
        <v>2.2636138561669701</v>
      </c>
      <c r="BM55">
        <v>0.35303487343509099</v>
      </c>
    </row>
    <row r="56" spans="1:65" x14ac:dyDescent="0.25">
      <c r="A56" t="s">
        <v>168</v>
      </c>
      <c r="B56">
        <v>36.217321200000001</v>
      </c>
      <c r="C56">
        <v>-78.864178648000006</v>
      </c>
      <c r="D56" s="1" t="s">
        <v>169</v>
      </c>
      <c r="E56" t="s">
        <v>170</v>
      </c>
      <c r="F56" t="s">
        <v>49</v>
      </c>
      <c r="G56">
        <v>6.6000000000000003E-2</v>
      </c>
      <c r="H56">
        <v>43.224672015036496</v>
      </c>
      <c r="I56">
        <v>-0.260135870573734</v>
      </c>
      <c r="J56">
        <v>5</v>
      </c>
      <c r="K56">
        <v>22</v>
      </c>
      <c r="L56">
        <v>23.2</v>
      </c>
      <c r="M56">
        <v>174</v>
      </c>
      <c r="N56">
        <v>15.1404728735618</v>
      </c>
      <c r="O56">
        <v>1218.7868723266999</v>
      </c>
      <c r="P56" t="s">
        <v>59</v>
      </c>
      <c r="Q56" t="s">
        <v>51</v>
      </c>
      <c r="R56">
        <v>35</v>
      </c>
      <c r="S56">
        <v>15</v>
      </c>
      <c r="U56">
        <v>2.6</v>
      </c>
      <c r="V56" s="5">
        <v>40</v>
      </c>
      <c r="W56" s="5">
        <v>30</v>
      </c>
      <c r="X56" s="5">
        <v>30</v>
      </c>
      <c r="Y56" s="5">
        <v>1</v>
      </c>
      <c r="Z56" t="s">
        <v>61</v>
      </c>
      <c r="AA56" t="s">
        <v>104</v>
      </c>
      <c r="AB56">
        <v>10</v>
      </c>
      <c r="AC56">
        <v>18.5</v>
      </c>
      <c r="AD56">
        <v>216</v>
      </c>
      <c r="AE56" s="6">
        <v>0.4</v>
      </c>
      <c r="AF56" s="6">
        <v>2.61</v>
      </c>
      <c r="AG56" s="6">
        <v>3</v>
      </c>
      <c r="AH56" s="6">
        <v>60</v>
      </c>
      <c r="AI56" t="s">
        <v>179</v>
      </c>
      <c r="AJ56" t="s">
        <v>293</v>
      </c>
      <c r="AK56" t="s">
        <v>294</v>
      </c>
      <c r="AL56">
        <v>22.970518602641299</v>
      </c>
      <c r="AM56">
        <v>0.72817711526651197</v>
      </c>
      <c r="AN56">
        <v>3665.22999999999</v>
      </c>
      <c r="AO56">
        <v>523.60428571428497</v>
      </c>
      <c r="AP56">
        <v>218.69848584570099</v>
      </c>
      <c r="AQ56">
        <v>208.21366540431501</v>
      </c>
      <c r="AR56">
        <v>0.38243881590772399</v>
      </c>
      <c r="AS56">
        <v>0.110946517560121</v>
      </c>
      <c r="AT56">
        <v>26.3434257271104</v>
      </c>
      <c r="AU56">
        <v>1.3133511270673299</v>
      </c>
      <c r="AV56">
        <v>260.36734621289702</v>
      </c>
      <c r="AW56">
        <v>234.285449686551</v>
      </c>
      <c r="AX56">
        <v>0.55559284011473697</v>
      </c>
      <c r="AY56">
        <v>0.10872057201547999</v>
      </c>
      <c r="AZ56">
        <v>15.3734321132131</v>
      </c>
      <c r="BA56">
        <v>0.59034252499172102</v>
      </c>
      <c r="BB56">
        <v>6950.2439999999897</v>
      </c>
      <c r="BC56">
        <v>992.89199999999903</v>
      </c>
      <c r="BD56">
        <v>196.75851511012601</v>
      </c>
      <c r="BE56">
        <v>172.76613132352099</v>
      </c>
      <c r="BF56">
        <v>0.59496292032795695</v>
      </c>
      <c r="BG56">
        <v>0.14268539498192601</v>
      </c>
      <c r="BH56">
        <v>18.511911887834898</v>
      </c>
      <c r="BI56">
        <v>1.01120643274794</v>
      </c>
      <c r="BJ56">
        <v>225.72925868470901</v>
      </c>
      <c r="BK56">
        <v>187.55956035253601</v>
      </c>
      <c r="BL56">
        <v>0.92657676805561795</v>
      </c>
      <c r="BM56">
        <v>0.14168089010826701</v>
      </c>
    </row>
    <row r="57" spans="1:65" x14ac:dyDescent="0.25">
      <c r="A57" t="s">
        <v>171</v>
      </c>
      <c r="B57">
        <v>36.217476607999998</v>
      </c>
      <c r="C57">
        <v>-78.863993733000001</v>
      </c>
      <c r="D57" s="1" t="s">
        <v>172</v>
      </c>
      <c r="E57" t="s">
        <v>173</v>
      </c>
      <c r="F57" t="s">
        <v>49</v>
      </c>
      <c r="G57">
        <v>6.6000000000000003E-2</v>
      </c>
      <c r="H57">
        <v>29.989081154329099</v>
      </c>
      <c r="I57">
        <v>-1.09058736668069</v>
      </c>
      <c r="J57">
        <v>5</v>
      </c>
      <c r="K57">
        <v>20</v>
      </c>
      <c r="L57">
        <v>30.5</v>
      </c>
      <c r="M57">
        <v>174</v>
      </c>
      <c r="N57">
        <v>15.1386079775544</v>
      </c>
      <c r="O57">
        <v>1219.2893060147101</v>
      </c>
      <c r="P57" t="s">
        <v>59</v>
      </c>
      <c r="Q57" t="s">
        <v>51</v>
      </c>
      <c r="R57">
        <v>35</v>
      </c>
      <c r="S57">
        <v>15</v>
      </c>
      <c r="T57">
        <v>655</v>
      </c>
      <c r="U57">
        <v>5.5</v>
      </c>
      <c r="V57" s="5">
        <v>43</v>
      </c>
      <c r="W57" s="5">
        <v>26</v>
      </c>
      <c r="X57" s="5">
        <v>31</v>
      </c>
      <c r="Y57" s="5">
        <v>1</v>
      </c>
      <c r="Z57" t="s">
        <v>61</v>
      </c>
      <c r="AA57" t="s">
        <v>93</v>
      </c>
      <c r="AB57">
        <v>10</v>
      </c>
      <c r="AC57">
        <v>18.8</v>
      </c>
      <c r="AD57">
        <v>223</v>
      </c>
      <c r="AE57" s="6">
        <v>0.45469999999999999</v>
      </c>
      <c r="AF57" s="6">
        <v>0.7</v>
      </c>
      <c r="AG57" s="6">
        <v>3.12</v>
      </c>
      <c r="AH57" s="6">
        <v>46</v>
      </c>
      <c r="AI57">
        <v>36.0167</v>
      </c>
      <c r="AJ57">
        <v>-78.9833</v>
      </c>
      <c r="AK57" t="s">
        <v>167</v>
      </c>
      <c r="AL57">
        <v>22.970518602641299</v>
      </c>
      <c r="AM57">
        <v>0.72817711526651296</v>
      </c>
      <c r="AN57">
        <v>3665.22999999999</v>
      </c>
      <c r="AO57">
        <v>523.60428571428497</v>
      </c>
      <c r="AP57">
        <v>218.69848584570099</v>
      </c>
      <c r="AQ57">
        <v>208.21366540431501</v>
      </c>
      <c r="AR57">
        <v>0.38243881590772399</v>
      </c>
      <c r="AS57">
        <v>0.110946517560121</v>
      </c>
      <c r="AT57">
        <v>26.3434257271104</v>
      </c>
      <c r="AU57">
        <v>1.3133511270673299</v>
      </c>
      <c r="AV57">
        <v>260.36734621289702</v>
      </c>
      <c r="AW57">
        <v>234.285449686551</v>
      </c>
      <c r="AX57">
        <v>0.55559284011473697</v>
      </c>
      <c r="AY57">
        <v>0.10872057201547999</v>
      </c>
      <c r="AZ57">
        <v>15.3734321132131</v>
      </c>
      <c r="BA57">
        <v>0.59034252499172102</v>
      </c>
      <c r="BB57">
        <v>6950.2439999999897</v>
      </c>
      <c r="BC57">
        <v>992.89200000000005</v>
      </c>
      <c r="BD57">
        <v>196.75851511012601</v>
      </c>
      <c r="BE57">
        <v>172.76613132352099</v>
      </c>
      <c r="BF57">
        <v>0.59496292032795695</v>
      </c>
      <c r="BG57">
        <v>0.14268539498192601</v>
      </c>
      <c r="BH57">
        <v>18.511911887834898</v>
      </c>
      <c r="BI57">
        <v>1.01120643274794</v>
      </c>
      <c r="BJ57">
        <v>225.72925868470901</v>
      </c>
      <c r="BK57">
        <v>187.55956035253601</v>
      </c>
      <c r="BL57">
        <v>0.92657676805561795</v>
      </c>
      <c r="BM57">
        <v>0.14168089010826701</v>
      </c>
    </row>
    <row r="58" spans="1:65" x14ac:dyDescent="0.25">
      <c r="A58" t="s">
        <v>171</v>
      </c>
      <c r="B58">
        <v>36.217476607999998</v>
      </c>
      <c r="C58">
        <v>-78.863993733000001</v>
      </c>
      <c r="D58" s="1" t="s">
        <v>292</v>
      </c>
      <c r="E58" t="s">
        <v>296</v>
      </c>
      <c r="F58" t="s">
        <v>49</v>
      </c>
      <c r="G58">
        <v>0.107</v>
      </c>
      <c r="H58">
        <v>0.60640073094224201</v>
      </c>
      <c r="I58">
        <v>-2.73862143285388</v>
      </c>
      <c r="J58">
        <v>4</v>
      </c>
      <c r="K58">
        <v>2</v>
      </c>
      <c r="L58">
        <v>30.5</v>
      </c>
      <c r="M58">
        <v>174</v>
      </c>
      <c r="N58">
        <v>15.1386079775544</v>
      </c>
      <c r="O58">
        <v>1219.2893060147101</v>
      </c>
      <c r="P58" t="s">
        <v>59</v>
      </c>
      <c r="Q58" t="s">
        <v>51</v>
      </c>
      <c r="R58">
        <v>35</v>
      </c>
      <c r="S58">
        <v>15</v>
      </c>
      <c r="T58">
        <v>655</v>
      </c>
      <c r="U58">
        <v>5.5</v>
      </c>
      <c r="V58" s="5">
        <v>43</v>
      </c>
      <c r="W58" s="5">
        <v>26</v>
      </c>
      <c r="X58" s="5">
        <v>31</v>
      </c>
      <c r="Y58" s="5">
        <v>1</v>
      </c>
      <c r="Z58" t="s">
        <v>61</v>
      </c>
      <c r="AA58" t="s">
        <v>93</v>
      </c>
      <c r="AB58">
        <v>10</v>
      </c>
      <c r="AC58">
        <v>28.55</v>
      </c>
      <c r="AD58">
        <v>511.5</v>
      </c>
      <c r="AL58">
        <v>22.970518602641299</v>
      </c>
      <c r="AM58">
        <v>0.72817711526651296</v>
      </c>
      <c r="AN58">
        <v>3665.22999999999</v>
      </c>
      <c r="AO58">
        <v>523.60428571428497</v>
      </c>
      <c r="AP58">
        <v>218.69848584570099</v>
      </c>
      <c r="AQ58">
        <v>208.21366540431501</v>
      </c>
      <c r="AR58">
        <v>0.38243881590772399</v>
      </c>
      <c r="AS58">
        <v>0.110946517560121</v>
      </c>
      <c r="AT58">
        <v>26.3434257271104</v>
      </c>
      <c r="AU58">
        <v>1.3133511270673299</v>
      </c>
      <c r="AV58">
        <v>260.36734621289702</v>
      </c>
      <c r="AW58">
        <v>234.285449686551</v>
      </c>
      <c r="AX58">
        <v>0.55559284011473697</v>
      </c>
      <c r="AY58">
        <v>0.10872057201547999</v>
      </c>
      <c r="AZ58">
        <v>15.3734321132131</v>
      </c>
      <c r="BA58">
        <v>0.59034252499172102</v>
      </c>
      <c r="BB58">
        <v>6950.2439999999897</v>
      </c>
      <c r="BC58">
        <v>992.89200000000005</v>
      </c>
      <c r="BD58">
        <v>196.75851511012601</v>
      </c>
      <c r="BE58">
        <v>172.76613132352099</v>
      </c>
      <c r="BF58">
        <v>0.59496292032795695</v>
      </c>
      <c r="BG58">
        <v>0.14268539498192601</v>
      </c>
      <c r="BH58">
        <v>18.511911887834898</v>
      </c>
      <c r="BI58">
        <v>1.01120643274794</v>
      </c>
      <c r="BJ58">
        <v>225.72925868470901</v>
      </c>
      <c r="BK58">
        <v>187.55956035253601</v>
      </c>
      <c r="BL58">
        <v>0.92657676805561795</v>
      </c>
      <c r="BM58">
        <v>0.14168089010826701</v>
      </c>
    </row>
    <row r="59" spans="1:65" x14ac:dyDescent="0.25">
      <c r="A59" t="s">
        <v>174</v>
      </c>
      <c r="B59">
        <v>42.5275305555556</v>
      </c>
      <c r="C59">
        <v>-74.157202777777798</v>
      </c>
      <c r="D59" s="1" t="s">
        <v>175</v>
      </c>
      <c r="E59" t="s">
        <v>176</v>
      </c>
      <c r="F59" t="s">
        <v>49</v>
      </c>
      <c r="G59">
        <v>0.26700000000000002</v>
      </c>
      <c r="H59">
        <v>29.615883704782298</v>
      </c>
      <c r="I59">
        <v>-2.9072927841054299</v>
      </c>
      <c r="J59">
        <v>2</v>
      </c>
      <c r="K59">
        <v>75</v>
      </c>
      <c r="L59">
        <v>76.599999999999994</v>
      </c>
      <c r="N59">
        <v>7.8589951288073596</v>
      </c>
      <c r="O59">
        <v>859.59623092355105</v>
      </c>
      <c r="P59" t="s">
        <v>92</v>
      </c>
      <c r="Q59" t="s">
        <v>51</v>
      </c>
      <c r="R59">
        <v>94</v>
      </c>
      <c r="T59">
        <v>1330</v>
      </c>
      <c r="V59" s="5">
        <v>0.8</v>
      </c>
      <c r="W59" s="5">
        <v>0.01</v>
      </c>
      <c r="X59" s="5">
        <v>0.19</v>
      </c>
      <c r="Y59" s="5">
        <v>1</v>
      </c>
      <c r="Z59" t="s">
        <v>61</v>
      </c>
      <c r="AA59" t="s">
        <v>147</v>
      </c>
      <c r="AB59">
        <v>30</v>
      </c>
      <c r="AC59">
        <v>42</v>
      </c>
      <c r="AD59">
        <v>478.53681777275801</v>
      </c>
      <c r="AE59" s="6">
        <v>0.33</v>
      </c>
      <c r="AG59" s="6">
        <v>2.29</v>
      </c>
      <c r="AK59" t="s">
        <v>177</v>
      </c>
      <c r="AL59">
        <v>16.227256231406098</v>
      </c>
      <c r="AM59">
        <v>0.48983221131631199</v>
      </c>
      <c r="AN59">
        <v>628.73</v>
      </c>
      <c r="AO59">
        <v>628.73</v>
      </c>
      <c r="AP59">
        <v>200.06122259778601</v>
      </c>
      <c r="AR59">
        <v>1.76942648808932</v>
      </c>
      <c r="AS59">
        <v>0.30392562771533399</v>
      </c>
      <c r="AT59">
        <v>17.027358258117999</v>
      </c>
      <c r="AU59">
        <v>0.56958185134350703</v>
      </c>
      <c r="AV59">
        <v>364.98520616307502</v>
      </c>
      <c r="AX59">
        <v>2.0592316828692199</v>
      </c>
      <c r="AY59">
        <v>0.30538653835851198</v>
      </c>
      <c r="AZ59">
        <v>7.79196584567919</v>
      </c>
      <c r="BA59">
        <v>0.34692414168538399</v>
      </c>
      <c r="BB59">
        <v>3246.64</v>
      </c>
      <c r="BC59">
        <v>1623.32</v>
      </c>
      <c r="BD59">
        <v>140.90671243560899</v>
      </c>
      <c r="BF59">
        <v>2.09928591179415</v>
      </c>
      <c r="BG59">
        <v>0.29491952847661901</v>
      </c>
      <c r="BH59">
        <v>8.4684393247543905</v>
      </c>
      <c r="BI59">
        <v>0.398875269974026</v>
      </c>
      <c r="BJ59">
        <v>285.96102007670902</v>
      </c>
      <c r="BL59">
        <v>2.4612686056221502</v>
      </c>
      <c r="BM59">
        <v>0.29330171627093399</v>
      </c>
    </row>
    <row r="60" spans="1:65" x14ac:dyDescent="0.25">
      <c r="A60" t="s">
        <v>178</v>
      </c>
      <c r="B60">
        <v>39.323228</v>
      </c>
      <c r="C60">
        <v>-86.413239000000004</v>
      </c>
      <c r="D60" s="1" t="s">
        <v>209</v>
      </c>
      <c r="E60" t="s">
        <v>210</v>
      </c>
      <c r="F60" t="s">
        <v>49</v>
      </c>
      <c r="G60">
        <v>0.25</v>
      </c>
      <c r="H60">
        <v>1.7793562930914399</v>
      </c>
      <c r="I60">
        <v>0.23042005036768501</v>
      </c>
      <c r="J60">
        <v>1</v>
      </c>
      <c r="K60">
        <v>2</v>
      </c>
      <c r="L60">
        <v>25.8</v>
      </c>
      <c r="M60">
        <v>286</v>
      </c>
      <c r="N60">
        <v>12.0260319193915</v>
      </c>
      <c r="O60">
        <v>1157.8757025422101</v>
      </c>
      <c r="P60" t="s">
        <v>71</v>
      </c>
      <c r="Q60" t="s">
        <v>51</v>
      </c>
      <c r="R60">
        <v>70</v>
      </c>
      <c r="S60">
        <v>30</v>
      </c>
      <c r="T60">
        <v>1523</v>
      </c>
      <c r="U60">
        <v>4.9000000000000004</v>
      </c>
      <c r="V60" s="5">
        <v>8.17</v>
      </c>
      <c r="W60" s="5">
        <v>24.7</v>
      </c>
      <c r="X60" s="5">
        <v>67.13</v>
      </c>
      <c r="Y60" s="5">
        <v>2</v>
      </c>
      <c r="Z60" t="s">
        <v>79</v>
      </c>
      <c r="AA60" t="s">
        <v>80</v>
      </c>
      <c r="AB60">
        <v>30</v>
      </c>
      <c r="AC60">
        <v>38.200000000000003</v>
      </c>
      <c r="AD60">
        <v>829</v>
      </c>
      <c r="AE60" s="6">
        <v>0.56000000000000005</v>
      </c>
      <c r="AF60" s="6">
        <v>4.6950000000000003</v>
      </c>
      <c r="AG60" s="6">
        <v>2.8730000000000002</v>
      </c>
      <c r="AH60" s="6">
        <v>35</v>
      </c>
      <c r="AK60" t="s">
        <v>211</v>
      </c>
      <c r="AL60">
        <v>22.530861866424502</v>
      </c>
      <c r="AM60">
        <v>0.85152609517723699</v>
      </c>
      <c r="AN60">
        <v>809.1</v>
      </c>
      <c r="AO60">
        <v>404.55</v>
      </c>
      <c r="AP60">
        <v>238.81467371572001</v>
      </c>
      <c r="AR60">
        <v>2.7910267236111101</v>
      </c>
      <c r="AS60">
        <v>0.36796256307870301</v>
      </c>
      <c r="AT60">
        <v>24.225839864864799</v>
      </c>
      <c r="AU60">
        <v>0.97119206604167496</v>
      </c>
      <c r="AV60">
        <v>430.54051544117601</v>
      </c>
      <c r="AX60">
        <v>2.7987660145573301</v>
      </c>
      <c r="AY60">
        <v>0.39934794530270001</v>
      </c>
      <c r="AZ60">
        <v>14.650359138076899</v>
      </c>
      <c r="BA60">
        <v>0.64185961643000899</v>
      </c>
      <c r="BB60">
        <v>1613.59998</v>
      </c>
      <c r="BC60">
        <v>806.79998999999998</v>
      </c>
      <c r="BD60">
        <v>191.903207961514</v>
      </c>
      <c r="BF60">
        <v>3.2327235187785499</v>
      </c>
      <c r="BG60">
        <v>0.36660660672504602</v>
      </c>
      <c r="BH60">
        <v>14.238963490784499</v>
      </c>
      <c r="BI60">
        <v>0.66239780486148203</v>
      </c>
      <c r="BJ60">
        <v>314.61401799717697</v>
      </c>
      <c r="BL60">
        <v>3.3502072637400899</v>
      </c>
      <c r="BM60">
        <v>0.40379850251400801</v>
      </c>
    </row>
    <row r="61" spans="1:65" x14ac:dyDescent="0.25">
      <c r="A61" t="s">
        <v>178</v>
      </c>
      <c r="B61">
        <v>39.323228</v>
      </c>
      <c r="C61">
        <v>-86.413239000000004</v>
      </c>
      <c r="D61" s="1" t="s">
        <v>169</v>
      </c>
      <c r="E61" t="s">
        <v>170</v>
      </c>
      <c r="F61" t="s">
        <v>49</v>
      </c>
      <c r="G61">
        <v>0.36499999999999999</v>
      </c>
      <c r="H61">
        <v>3.20470202670157</v>
      </c>
      <c r="I61">
        <v>-2.8626269358759502</v>
      </c>
      <c r="J61">
        <v>2</v>
      </c>
      <c r="K61">
        <v>17</v>
      </c>
      <c r="L61">
        <v>25.8</v>
      </c>
      <c r="M61">
        <v>286</v>
      </c>
      <c r="N61">
        <v>12.0260319193915</v>
      </c>
      <c r="O61">
        <v>1157.8757025422101</v>
      </c>
      <c r="P61" t="s">
        <v>71</v>
      </c>
      <c r="Q61" t="s">
        <v>51</v>
      </c>
      <c r="R61">
        <v>70</v>
      </c>
      <c r="S61">
        <v>30</v>
      </c>
      <c r="T61">
        <v>1523</v>
      </c>
      <c r="U61">
        <v>4.9000000000000004</v>
      </c>
      <c r="V61" s="5">
        <v>8.17</v>
      </c>
      <c r="W61" s="5">
        <v>24.7</v>
      </c>
      <c r="X61" s="5">
        <v>67.13</v>
      </c>
      <c r="Y61" s="5">
        <v>2</v>
      </c>
      <c r="Z61" t="s">
        <v>79</v>
      </c>
      <c r="AA61" t="s">
        <v>80</v>
      </c>
      <c r="AB61">
        <v>30</v>
      </c>
      <c r="AC61">
        <v>56.1</v>
      </c>
      <c r="AD61">
        <v>1161.5</v>
      </c>
      <c r="AE61" s="6">
        <v>0.4</v>
      </c>
      <c r="AF61" s="6">
        <v>2.61</v>
      </c>
      <c r="AG61" s="6">
        <v>3</v>
      </c>
      <c r="AH61" s="6">
        <v>60</v>
      </c>
      <c r="AI61" t="s">
        <v>179</v>
      </c>
      <c r="AJ61">
        <f>-77.86/78</f>
        <v>-0.99820512820512819</v>
      </c>
      <c r="AK61" t="s">
        <v>180</v>
      </c>
      <c r="AL61">
        <v>22.530861866424502</v>
      </c>
      <c r="AM61">
        <v>0.85152609517723699</v>
      </c>
      <c r="AN61">
        <v>809.1</v>
      </c>
      <c r="AO61">
        <v>404.55</v>
      </c>
      <c r="AP61">
        <v>238.81467371572001</v>
      </c>
      <c r="AR61">
        <v>2.7910267236111101</v>
      </c>
      <c r="AS61">
        <v>0.36796256307870301</v>
      </c>
      <c r="AT61">
        <v>24.225839864864799</v>
      </c>
      <c r="AU61">
        <v>0.97119206604167496</v>
      </c>
      <c r="AV61">
        <v>430.54051544117601</v>
      </c>
      <c r="AX61">
        <v>2.7987660145573301</v>
      </c>
      <c r="AY61">
        <v>0.39934794530270001</v>
      </c>
      <c r="AZ61">
        <v>14.650359138076899</v>
      </c>
      <c r="BA61">
        <v>0.64185961643000899</v>
      </c>
      <c r="BB61">
        <v>1613.59998</v>
      </c>
      <c r="BC61">
        <v>806.79998999999998</v>
      </c>
      <c r="BD61">
        <v>191.903207961514</v>
      </c>
      <c r="BF61">
        <v>3.2327235187785499</v>
      </c>
      <c r="BG61">
        <v>0.36660660672504602</v>
      </c>
      <c r="BH61">
        <v>14.238963490784499</v>
      </c>
      <c r="BI61">
        <v>0.66239780486148203</v>
      </c>
      <c r="BJ61">
        <v>314.61401799717697</v>
      </c>
      <c r="BL61">
        <v>3.3502072637400899</v>
      </c>
      <c r="BM61">
        <v>0.40379850251400801</v>
      </c>
    </row>
    <row r="62" spans="1:65" x14ac:dyDescent="0.25">
      <c r="A62" t="s">
        <v>178</v>
      </c>
      <c r="B62">
        <v>39.323228</v>
      </c>
      <c r="C62">
        <v>-86.413239000000004</v>
      </c>
      <c r="D62" s="1" t="s">
        <v>163</v>
      </c>
      <c r="E62" t="s">
        <v>164</v>
      </c>
      <c r="F62" t="s">
        <v>49</v>
      </c>
      <c r="G62">
        <v>0.38800000000000001</v>
      </c>
      <c r="H62">
        <v>0.37317007053146201</v>
      </c>
      <c r="I62">
        <v>-1.6222469270947599</v>
      </c>
      <c r="J62">
        <v>2</v>
      </c>
      <c r="K62">
        <v>23</v>
      </c>
      <c r="L62">
        <v>25.8</v>
      </c>
      <c r="M62">
        <v>286</v>
      </c>
      <c r="N62">
        <v>12.0260319193915</v>
      </c>
      <c r="O62">
        <v>1157.8757025422101</v>
      </c>
      <c r="P62" t="s">
        <v>71</v>
      </c>
      <c r="Q62" t="s">
        <v>51</v>
      </c>
      <c r="R62">
        <v>70</v>
      </c>
      <c r="S62">
        <v>30</v>
      </c>
      <c r="T62">
        <v>1523</v>
      </c>
      <c r="U62">
        <v>4.9000000000000004</v>
      </c>
      <c r="V62" s="5">
        <v>8.17</v>
      </c>
      <c r="W62" s="5">
        <v>24.7</v>
      </c>
      <c r="X62" s="5">
        <v>67.13</v>
      </c>
      <c r="Y62" s="5">
        <v>2</v>
      </c>
      <c r="Z62" t="s">
        <v>79</v>
      </c>
      <c r="AA62" t="s">
        <v>80</v>
      </c>
      <c r="AB62">
        <v>30</v>
      </c>
      <c r="AC62">
        <v>30.8</v>
      </c>
      <c r="AD62">
        <v>181.5</v>
      </c>
      <c r="AE62" s="6">
        <v>0.63439999999999996</v>
      </c>
      <c r="AF62" s="6">
        <v>1.37</v>
      </c>
      <c r="AG62" s="6">
        <v>1.37</v>
      </c>
      <c r="AH62" s="6">
        <v>30</v>
      </c>
      <c r="AI62">
        <v>36.0167</v>
      </c>
      <c r="AJ62">
        <v>-78.9833</v>
      </c>
      <c r="AK62" t="s">
        <v>167</v>
      </c>
      <c r="AL62">
        <v>22.530861866424502</v>
      </c>
      <c r="AM62">
        <v>0.85152609517723699</v>
      </c>
      <c r="AN62">
        <v>809.1</v>
      </c>
      <c r="AO62">
        <v>404.55</v>
      </c>
      <c r="AP62">
        <v>238.81467371572001</v>
      </c>
      <c r="AR62">
        <v>2.7910267236111101</v>
      </c>
      <c r="AS62">
        <v>0.36796256307870301</v>
      </c>
      <c r="AT62">
        <v>24.225839864864799</v>
      </c>
      <c r="AU62">
        <v>0.97119206604167496</v>
      </c>
      <c r="AV62">
        <v>430.54051544117601</v>
      </c>
      <c r="AX62">
        <v>2.7987660145573301</v>
      </c>
      <c r="AY62">
        <v>0.39934794530270001</v>
      </c>
      <c r="AZ62">
        <v>14.650359138076899</v>
      </c>
      <c r="BA62">
        <v>0.64185961643000899</v>
      </c>
      <c r="BB62">
        <v>1613.59998</v>
      </c>
      <c r="BC62">
        <v>806.79998999999998</v>
      </c>
      <c r="BD62">
        <v>191.903207961514</v>
      </c>
      <c r="BF62">
        <v>3.2327235187785499</v>
      </c>
      <c r="BG62">
        <v>0.36660660672504602</v>
      </c>
      <c r="BH62">
        <v>14.238963490784499</v>
      </c>
      <c r="BI62">
        <v>0.66239780486148203</v>
      </c>
      <c r="BJ62">
        <v>314.61401799717697</v>
      </c>
      <c r="BL62">
        <v>3.3502072637400899</v>
      </c>
      <c r="BM62">
        <v>0.40379850251400801</v>
      </c>
    </row>
    <row r="63" spans="1:65" x14ac:dyDescent="0.25">
      <c r="A63" t="s">
        <v>178</v>
      </c>
      <c r="B63">
        <v>39.323228</v>
      </c>
      <c r="C63">
        <v>-86.413239000000004</v>
      </c>
      <c r="D63" s="1" t="s">
        <v>181</v>
      </c>
      <c r="E63" t="s">
        <v>182</v>
      </c>
      <c r="F63" t="s">
        <v>49</v>
      </c>
      <c r="G63">
        <v>0.40300000000000002</v>
      </c>
      <c r="H63">
        <v>0.128121373838497</v>
      </c>
      <c r="I63">
        <v>-1.65084605456818</v>
      </c>
      <c r="J63">
        <v>1</v>
      </c>
      <c r="K63">
        <v>15</v>
      </c>
      <c r="L63">
        <v>25.8</v>
      </c>
      <c r="M63">
        <v>286</v>
      </c>
      <c r="N63">
        <v>12.0260319193915</v>
      </c>
      <c r="O63">
        <v>1157.8757025422101</v>
      </c>
      <c r="P63" t="s">
        <v>71</v>
      </c>
      <c r="Q63" t="s">
        <v>51</v>
      </c>
      <c r="R63">
        <v>70</v>
      </c>
      <c r="S63">
        <v>30</v>
      </c>
      <c r="T63">
        <v>1523</v>
      </c>
      <c r="U63">
        <v>4.9000000000000004</v>
      </c>
      <c r="V63" s="5">
        <v>8.17</v>
      </c>
      <c r="W63" s="5">
        <v>24.7</v>
      </c>
      <c r="X63" s="5">
        <v>67.13</v>
      </c>
      <c r="Y63" s="5">
        <v>2</v>
      </c>
      <c r="Z63" t="s">
        <v>79</v>
      </c>
      <c r="AA63" t="s">
        <v>80</v>
      </c>
      <c r="AB63">
        <v>30</v>
      </c>
      <c r="AC63">
        <v>41.9</v>
      </c>
      <c r="AD63">
        <v>186</v>
      </c>
      <c r="AE63" s="6">
        <v>0.48</v>
      </c>
      <c r="AF63" s="6">
        <v>4</v>
      </c>
      <c r="AG63" s="6">
        <v>1.77</v>
      </c>
      <c r="AI63" t="s">
        <v>85</v>
      </c>
      <c r="AJ63" t="s">
        <v>85</v>
      </c>
      <c r="AK63" t="s">
        <v>183</v>
      </c>
      <c r="AL63">
        <v>22.530861866424502</v>
      </c>
      <c r="AM63">
        <v>0.85152609517723699</v>
      </c>
      <c r="AN63">
        <v>809.1</v>
      </c>
      <c r="AO63">
        <v>404.55</v>
      </c>
      <c r="AP63">
        <v>238.81467371572001</v>
      </c>
      <c r="AR63">
        <v>2.7910267236111101</v>
      </c>
      <c r="AS63">
        <v>0.36796256307870301</v>
      </c>
      <c r="AT63">
        <v>24.225839864864799</v>
      </c>
      <c r="AU63">
        <v>0.97119206604167496</v>
      </c>
      <c r="AV63">
        <v>430.54051544117601</v>
      </c>
      <c r="AX63">
        <v>2.7987660145573301</v>
      </c>
      <c r="AY63">
        <v>0.39934794530270001</v>
      </c>
      <c r="AZ63">
        <v>14.650359138076899</v>
      </c>
      <c r="BA63">
        <v>0.64185961643000899</v>
      </c>
      <c r="BB63">
        <v>1613.59998</v>
      </c>
      <c r="BC63">
        <v>806.79998999999998</v>
      </c>
      <c r="BD63">
        <v>191.903207961514</v>
      </c>
      <c r="BF63">
        <v>3.2327235187785499</v>
      </c>
      <c r="BG63">
        <v>0.36660660672504602</v>
      </c>
      <c r="BH63">
        <v>14.238963490784499</v>
      </c>
      <c r="BI63">
        <v>0.66239780486148203</v>
      </c>
      <c r="BJ63">
        <v>314.61401799717697</v>
      </c>
      <c r="BL63">
        <v>3.3502072637400899</v>
      </c>
      <c r="BM63">
        <v>0.40379850251400801</v>
      </c>
    </row>
    <row r="64" spans="1:65" x14ac:dyDescent="0.25">
      <c r="A64" t="s">
        <v>178</v>
      </c>
      <c r="B64">
        <v>39.323228</v>
      </c>
      <c r="C64">
        <v>-86.413239000000004</v>
      </c>
      <c r="D64" s="1" t="s">
        <v>184</v>
      </c>
      <c r="E64" t="s">
        <v>301</v>
      </c>
      <c r="F64" t="s">
        <v>49</v>
      </c>
      <c r="G64">
        <v>0.443</v>
      </c>
      <c r="H64">
        <v>1.181782668414</v>
      </c>
      <c r="I64">
        <v>-21.2628438059971</v>
      </c>
      <c r="J64">
        <v>1</v>
      </c>
      <c r="K64">
        <v>29</v>
      </c>
      <c r="L64">
        <v>25.8</v>
      </c>
      <c r="M64">
        <v>286</v>
      </c>
      <c r="N64">
        <v>12.0260319193915</v>
      </c>
      <c r="O64">
        <v>1157.8757025422101</v>
      </c>
      <c r="P64" t="s">
        <v>71</v>
      </c>
      <c r="Q64" t="s">
        <v>51</v>
      </c>
      <c r="R64">
        <v>70</v>
      </c>
      <c r="S64">
        <v>30</v>
      </c>
      <c r="T64">
        <v>1523</v>
      </c>
      <c r="U64">
        <v>4.9000000000000004</v>
      </c>
      <c r="V64" s="5">
        <v>8.17</v>
      </c>
      <c r="W64" s="5">
        <v>24.7</v>
      </c>
      <c r="X64" s="5">
        <v>67.13</v>
      </c>
      <c r="Y64" s="5">
        <v>2</v>
      </c>
      <c r="Z64" t="s">
        <v>79</v>
      </c>
      <c r="AA64" t="s">
        <v>80</v>
      </c>
      <c r="AB64">
        <v>30</v>
      </c>
      <c r="AC64">
        <v>36.6</v>
      </c>
      <c r="AD64">
        <v>168</v>
      </c>
      <c r="AL64">
        <v>22.530861866424502</v>
      </c>
      <c r="AM64">
        <v>0.85152609517723699</v>
      </c>
      <c r="AN64">
        <v>809.1</v>
      </c>
      <c r="AO64">
        <v>404.55</v>
      </c>
      <c r="AP64">
        <v>238.81467371572001</v>
      </c>
      <c r="AR64">
        <v>2.7910267236111101</v>
      </c>
      <c r="AS64">
        <v>0.36796256307870301</v>
      </c>
      <c r="AT64">
        <v>24.225839864864799</v>
      </c>
      <c r="AU64">
        <v>0.97119206604167496</v>
      </c>
      <c r="AV64">
        <v>430.54051544117601</v>
      </c>
      <c r="AX64">
        <v>2.7987660145573301</v>
      </c>
      <c r="AY64">
        <v>0.39934794530270001</v>
      </c>
      <c r="AZ64">
        <v>14.650359138076899</v>
      </c>
      <c r="BA64">
        <v>0.64185961643000899</v>
      </c>
      <c r="BB64">
        <v>1613.59998</v>
      </c>
      <c r="BC64">
        <v>806.79998999999998</v>
      </c>
      <c r="BD64">
        <v>191.903207961514</v>
      </c>
      <c r="BF64">
        <v>3.2327235187785499</v>
      </c>
      <c r="BG64">
        <v>0.36660660672504602</v>
      </c>
      <c r="BH64">
        <v>14.238963490784499</v>
      </c>
      <c r="BI64">
        <v>0.66239780486148203</v>
      </c>
      <c r="BJ64">
        <v>314.61401799717697</v>
      </c>
      <c r="BL64">
        <v>3.3502072637400899</v>
      </c>
      <c r="BM64">
        <v>0.40379850251400801</v>
      </c>
    </row>
    <row r="65" spans="1:65" x14ac:dyDescent="0.25">
      <c r="A65" t="s">
        <v>185</v>
      </c>
      <c r="B65">
        <v>39.323011000000001</v>
      </c>
      <c r="C65">
        <v>-86.413320999999996</v>
      </c>
      <c r="D65" s="1" t="s">
        <v>169</v>
      </c>
      <c r="E65" t="s">
        <v>170</v>
      </c>
      <c r="F65" t="s">
        <v>118</v>
      </c>
      <c r="G65">
        <v>0.159</v>
      </c>
      <c r="H65">
        <v>118.356241289257</v>
      </c>
      <c r="I65">
        <v>-15.662675113712</v>
      </c>
      <c r="J65">
        <v>2</v>
      </c>
      <c r="K65">
        <v>11</v>
      </c>
      <c r="M65">
        <v>275</v>
      </c>
      <c r="N65">
        <v>12.023255530848701</v>
      </c>
      <c r="O65">
        <v>1159.4803130577</v>
      </c>
      <c r="P65" t="s">
        <v>71</v>
      </c>
      <c r="Q65" t="s">
        <v>51</v>
      </c>
      <c r="R65">
        <v>90</v>
      </c>
      <c r="S65">
        <v>27</v>
      </c>
      <c r="U65">
        <v>5</v>
      </c>
      <c r="V65" s="5">
        <v>10</v>
      </c>
      <c r="W65" s="5">
        <v>30</v>
      </c>
      <c r="X65" s="5">
        <v>60</v>
      </c>
      <c r="Y65" s="5">
        <v>1</v>
      </c>
      <c r="Z65" t="s">
        <v>61</v>
      </c>
      <c r="AA65" t="s">
        <v>186</v>
      </c>
      <c r="AB65">
        <v>50</v>
      </c>
      <c r="AC65">
        <v>62.75</v>
      </c>
      <c r="AD65">
        <v>1688.25</v>
      </c>
      <c r="AE65" s="6">
        <v>0.4</v>
      </c>
      <c r="AF65" s="6">
        <v>2.61</v>
      </c>
      <c r="AG65" s="6">
        <v>3</v>
      </c>
      <c r="AH65" s="6">
        <v>60</v>
      </c>
      <c r="AI65" t="s">
        <v>179</v>
      </c>
      <c r="AJ65">
        <f>-77.86/78</f>
        <v>-0.99820512820512819</v>
      </c>
      <c r="AK65" t="s">
        <v>180</v>
      </c>
      <c r="AL65">
        <v>24.704969423357099</v>
      </c>
      <c r="AM65">
        <v>1.0214821004583701</v>
      </c>
      <c r="AN65">
        <v>295.64999999999998</v>
      </c>
      <c r="AO65">
        <v>98.55</v>
      </c>
      <c r="AQ65">
        <v>351.99337495243702</v>
      </c>
      <c r="AR65">
        <v>2.8655374287369901</v>
      </c>
      <c r="AS65">
        <v>0.217384177785445</v>
      </c>
      <c r="AT65">
        <v>26.4070573476702</v>
      </c>
      <c r="AU65">
        <v>1.3395419409145199</v>
      </c>
      <c r="AW65">
        <v>369.71264335288299</v>
      </c>
      <c r="AX65">
        <v>2.5305095647333502</v>
      </c>
      <c r="AY65">
        <v>0.215600820055392</v>
      </c>
      <c r="AZ65">
        <v>24.704969423357099</v>
      </c>
      <c r="BA65">
        <v>1.0214821004583701</v>
      </c>
      <c r="BB65">
        <v>295.64999999999998</v>
      </c>
      <c r="BC65">
        <v>98.55</v>
      </c>
      <c r="BE65">
        <v>351.99337495243702</v>
      </c>
      <c r="BF65">
        <v>2.8655374287369901</v>
      </c>
      <c r="BG65">
        <v>0.217384177785445</v>
      </c>
      <c r="BH65">
        <v>26.4070573476702</v>
      </c>
      <c r="BI65">
        <v>1.3395419409145199</v>
      </c>
      <c r="BK65">
        <v>369.71264335288299</v>
      </c>
      <c r="BL65">
        <v>2.5305095647333502</v>
      </c>
      <c r="BM65">
        <v>0.215600820055392</v>
      </c>
    </row>
    <row r="66" spans="1:65" x14ac:dyDescent="0.25">
      <c r="A66" t="s">
        <v>187</v>
      </c>
      <c r="B66">
        <v>35.8031111111111</v>
      </c>
      <c r="C66">
        <v>-76.667916666666699</v>
      </c>
      <c r="D66" s="1" t="s">
        <v>188</v>
      </c>
      <c r="E66" t="s">
        <v>189</v>
      </c>
      <c r="F66" t="s">
        <v>49</v>
      </c>
      <c r="G66">
        <v>0.107</v>
      </c>
      <c r="H66">
        <v>23.6895148768225</v>
      </c>
      <c r="I66">
        <v>-3.6928897411946502</v>
      </c>
      <c r="J66">
        <v>8</v>
      </c>
      <c r="K66">
        <v>90</v>
      </c>
      <c r="L66">
        <v>50.7</v>
      </c>
      <c r="M66">
        <v>5.2</v>
      </c>
      <c r="N66">
        <v>16.600000000000001</v>
      </c>
      <c r="O66">
        <v>1284.4380721104901</v>
      </c>
      <c r="P66" t="s">
        <v>50</v>
      </c>
      <c r="Q66" t="s">
        <v>51</v>
      </c>
      <c r="R66">
        <v>19</v>
      </c>
      <c r="S66">
        <v>18</v>
      </c>
      <c r="T66">
        <v>635</v>
      </c>
      <c r="U66">
        <v>4.2</v>
      </c>
      <c r="V66" s="5">
        <v>60</v>
      </c>
      <c r="W66" s="5">
        <v>10</v>
      </c>
      <c r="X66" s="5">
        <v>30</v>
      </c>
      <c r="Y66" s="5">
        <v>1</v>
      </c>
      <c r="Z66" t="s">
        <v>61</v>
      </c>
      <c r="AA66" t="s">
        <v>62</v>
      </c>
      <c r="AB66">
        <v>20</v>
      </c>
      <c r="AC66">
        <v>38.75</v>
      </c>
      <c r="AD66">
        <v>670</v>
      </c>
      <c r="AE66" s="6">
        <v>0.45835100000000001</v>
      </c>
      <c r="AF66" s="6">
        <v>0.32</v>
      </c>
      <c r="AG66" s="6">
        <v>3.13</v>
      </c>
      <c r="AH66" s="6">
        <v>50</v>
      </c>
      <c r="AI66">
        <v>36.0167</v>
      </c>
      <c r="AJ66">
        <v>-78.9833</v>
      </c>
      <c r="AK66" t="s">
        <v>190</v>
      </c>
      <c r="AL66">
        <v>22.7415037539302</v>
      </c>
      <c r="AM66">
        <v>0.82815921486399402</v>
      </c>
      <c r="AN66">
        <v>2242.2992126018999</v>
      </c>
      <c r="AO66">
        <v>560.57480315047496</v>
      </c>
      <c r="AP66">
        <v>233.35332612316799</v>
      </c>
      <c r="AQ66">
        <v>326.03185127152398</v>
      </c>
      <c r="AR66">
        <v>0.329187234761599</v>
      </c>
      <c r="AS66">
        <v>0.167221378367163</v>
      </c>
      <c r="AT66">
        <v>25.416297854293902</v>
      </c>
      <c r="AU66">
        <v>1.3179415430796799</v>
      </c>
      <c r="AV66">
        <v>442.28110175785298</v>
      </c>
      <c r="AW66">
        <v>332.32217374068199</v>
      </c>
      <c r="AX66">
        <v>0.43977337601771899</v>
      </c>
      <c r="AY66">
        <v>0.16753683239289399</v>
      </c>
      <c r="AZ66">
        <v>16.091076662102601</v>
      </c>
      <c r="BA66">
        <v>0.63652663253127295</v>
      </c>
      <c r="BB66">
        <v>4532.0526376111002</v>
      </c>
      <c r="BC66">
        <v>906.41052752221901</v>
      </c>
      <c r="BD66">
        <v>181.04294201838499</v>
      </c>
      <c r="BE66">
        <v>271.14199806885301</v>
      </c>
      <c r="BF66">
        <v>0.36632178655592901</v>
      </c>
      <c r="BG66">
        <v>0.23048441212574799</v>
      </c>
      <c r="BH66">
        <v>18.822269369772201</v>
      </c>
      <c r="BI66">
        <v>1.0098810911818401</v>
      </c>
      <c r="BJ66">
        <v>362.02522232971802</v>
      </c>
      <c r="BK66">
        <v>272.69231396635797</v>
      </c>
      <c r="BL66">
        <v>0.47201689341773201</v>
      </c>
      <c r="BM66">
        <v>0.22645906227502199</v>
      </c>
    </row>
    <row r="67" spans="1:65" x14ac:dyDescent="0.25">
      <c r="A67" t="s">
        <v>191</v>
      </c>
      <c r="B67">
        <v>34.386388888888803</v>
      </c>
      <c r="C67">
        <v>-106.529444444444</v>
      </c>
      <c r="D67" s="1" t="s">
        <v>275</v>
      </c>
      <c r="E67" t="s">
        <v>276</v>
      </c>
      <c r="F67" t="s">
        <v>49</v>
      </c>
      <c r="G67">
        <v>5.7000000000000002E-2</v>
      </c>
      <c r="H67">
        <v>6.0084081709974297</v>
      </c>
      <c r="I67">
        <v>1.0718364895285799</v>
      </c>
      <c r="J67">
        <v>5</v>
      </c>
      <c r="K67">
        <v>89.9</v>
      </c>
      <c r="L67">
        <v>19.329999999999998</v>
      </c>
      <c r="M67">
        <v>1911</v>
      </c>
      <c r="N67">
        <v>12.667087645095901</v>
      </c>
      <c r="O67">
        <v>311.42915626859798</v>
      </c>
      <c r="P67" t="s">
        <v>194</v>
      </c>
      <c r="Q67" t="s">
        <v>195</v>
      </c>
      <c r="R67">
        <v>85</v>
      </c>
      <c r="S67">
        <v>4.2</v>
      </c>
      <c r="T67">
        <v>306</v>
      </c>
      <c r="U67">
        <v>0.71</v>
      </c>
      <c r="V67" s="5">
        <v>52</v>
      </c>
      <c r="W67" s="5">
        <v>6</v>
      </c>
      <c r="X67" s="5">
        <v>42</v>
      </c>
      <c r="Y67" s="5">
        <v>1</v>
      </c>
      <c r="Z67" t="s">
        <v>61</v>
      </c>
      <c r="AA67" t="s">
        <v>62</v>
      </c>
      <c r="AB67">
        <v>12.5</v>
      </c>
      <c r="AC67">
        <v>31.1</v>
      </c>
      <c r="AD67">
        <v>97.8</v>
      </c>
      <c r="AE67" s="6">
        <v>0.61599999999999999</v>
      </c>
      <c r="AF67" s="6">
        <v>0.27</v>
      </c>
      <c r="AG67" s="6">
        <v>11.6</v>
      </c>
      <c r="AH67" s="6">
        <v>12</v>
      </c>
      <c r="AI67">
        <v>35.166699999999999</v>
      </c>
      <c r="AJ67">
        <v>-111.5167</v>
      </c>
      <c r="AK67" t="s">
        <v>277</v>
      </c>
      <c r="AL67">
        <v>21.120212956025</v>
      </c>
      <c r="AM67">
        <v>1.75390657613038</v>
      </c>
      <c r="AN67">
        <v>1684.893</v>
      </c>
      <c r="AO67">
        <v>187.21033333333301</v>
      </c>
      <c r="AP67">
        <v>241.011089085484</v>
      </c>
      <c r="AQ67">
        <v>333.44728500925203</v>
      </c>
      <c r="AR67">
        <v>2.3247310278164699</v>
      </c>
      <c r="AS67">
        <v>5.8760902784903403E-2</v>
      </c>
      <c r="AT67">
        <v>24.096191286198401</v>
      </c>
      <c r="AU67">
        <v>2.2602501715095</v>
      </c>
      <c r="AV67">
        <v>486.502511945908</v>
      </c>
      <c r="AW67">
        <v>336.35875006586099</v>
      </c>
      <c r="AX67">
        <v>2.51997139713297</v>
      </c>
      <c r="AY67">
        <v>5.9716029090031403E-2</v>
      </c>
      <c r="AZ67">
        <v>13.0204617638113</v>
      </c>
      <c r="BA67">
        <v>1.1697285109428299</v>
      </c>
      <c r="BB67">
        <v>2909.1669999999999</v>
      </c>
      <c r="BC67">
        <v>290.91669999999999</v>
      </c>
      <c r="BD67">
        <v>194.64661310310399</v>
      </c>
      <c r="BE67">
        <v>285.02199515882103</v>
      </c>
      <c r="BF67">
        <v>2.4648875215498598</v>
      </c>
      <c r="BG67">
        <v>6.32708832620551E-2</v>
      </c>
      <c r="BH67">
        <v>15.616882796097901</v>
      </c>
      <c r="BI67">
        <v>1.48670562775157</v>
      </c>
      <c r="BJ67">
        <v>409.59568871613999</v>
      </c>
      <c r="BK67">
        <v>286.605319614736</v>
      </c>
      <c r="BL67">
        <v>2.6926276166483598</v>
      </c>
      <c r="BM67">
        <v>6.4100026366205307E-2</v>
      </c>
    </row>
    <row r="68" spans="1:65" x14ac:dyDescent="0.25">
      <c r="A68" t="s">
        <v>191</v>
      </c>
      <c r="B68">
        <v>34.386388888888803</v>
      </c>
      <c r="C68">
        <v>-106.529444444444</v>
      </c>
      <c r="D68" s="1" t="s">
        <v>192</v>
      </c>
      <c r="E68" t="s">
        <v>193</v>
      </c>
      <c r="F68" t="s">
        <v>49</v>
      </c>
      <c r="G68">
        <v>0.123</v>
      </c>
      <c r="H68">
        <v>1.5295846947962899</v>
      </c>
      <c r="I68">
        <v>-0.89631209312738402</v>
      </c>
      <c r="J68">
        <v>5</v>
      </c>
      <c r="K68">
        <v>10.1</v>
      </c>
      <c r="L68">
        <v>19.329999999999998</v>
      </c>
      <c r="M68">
        <v>1911</v>
      </c>
      <c r="N68">
        <v>12.667087645095901</v>
      </c>
      <c r="O68">
        <v>311.42915626859798</v>
      </c>
      <c r="P68" t="s">
        <v>194</v>
      </c>
      <c r="Q68" t="s">
        <v>195</v>
      </c>
      <c r="R68">
        <v>85</v>
      </c>
      <c r="S68">
        <v>4.2</v>
      </c>
      <c r="T68">
        <v>306</v>
      </c>
      <c r="U68">
        <v>0.71</v>
      </c>
      <c r="V68" s="5">
        <v>52</v>
      </c>
      <c r="W68" s="5">
        <v>6</v>
      </c>
      <c r="X68" s="5">
        <v>42</v>
      </c>
      <c r="Y68" s="5">
        <v>1</v>
      </c>
      <c r="Z68" t="s">
        <v>61</v>
      </c>
      <c r="AA68" t="s">
        <v>62</v>
      </c>
      <c r="AB68">
        <v>12.5</v>
      </c>
      <c r="AC68">
        <v>18.3</v>
      </c>
      <c r="AD68">
        <v>125.2</v>
      </c>
      <c r="AE68" s="6">
        <v>0.60329600000000005</v>
      </c>
      <c r="AG68" s="6">
        <v>4.88</v>
      </c>
      <c r="AH68" s="6">
        <v>20</v>
      </c>
      <c r="AI68">
        <v>38.583300000000001</v>
      </c>
      <c r="AJ68">
        <v>-109.5333</v>
      </c>
      <c r="AK68" t="s">
        <v>196</v>
      </c>
      <c r="AL68">
        <v>21.120212956025</v>
      </c>
      <c r="AM68">
        <v>1.75390657613038</v>
      </c>
      <c r="AN68">
        <v>1684.893</v>
      </c>
      <c r="AO68">
        <v>187.21033333333301</v>
      </c>
      <c r="AP68">
        <v>241.011089085484</v>
      </c>
      <c r="AQ68">
        <v>333.44728500925203</v>
      </c>
      <c r="AR68">
        <v>2.3247310278164699</v>
      </c>
      <c r="AS68">
        <v>5.8760902784903403E-2</v>
      </c>
      <c r="AT68">
        <v>24.096191286198401</v>
      </c>
      <c r="AU68">
        <v>2.2602501715095</v>
      </c>
      <c r="AV68">
        <v>486.502511945908</v>
      </c>
      <c r="AW68">
        <v>336.35875006586099</v>
      </c>
      <c r="AX68">
        <v>2.51997139713297</v>
      </c>
      <c r="AY68">
        <v>5.9716029090031403E-2</v>
      </c>
      <c r="AZ68">
        <v>13.0204617638113</v>
      </c>
      <c r="BA68">
        <v>1.1697285109428299</v>
      </c>
      <c r="BB68">
        <v>2909.1669999999999</v>
      </c>
      <c r="BC68">
        <v>290.91669999999999</v>
      </c>
      <c r="BD68">
        <v>194.64661310310399</v>
      </c>
      <c r="BE68">
        <v>285.02199515882103</v>
      </c>
      <c r="BF68">
        <v>2.4648875215498598</v>
      </c>
      <c r="BG68">
        <v>6.32708832620551E-2</v>
      </c>
      <c r="BH68">
        <v>15.616882796097901</v>
      </c>
      <c r="BI68">
        <v>1.48670562775157</v>
      </c>
      <c r="BJ68">
        <v>409.59568871613999</v>
      </c>
      <c r="BK68">
        <v>286.605319614736</v>
      </c>
      <c r="BL68">
        <v>2.6926276166483598</v>
      </c>
      <c r="BM68">
        <v>6.4100026366205307E-2</v>
      </c>
    </row>
    <row r="69" spans="1:65" x14ac:dyDescent="0.25">
      <c r="A69" t="s">
        <v>197</v>
      </c>
      <c r="B69">
        <v>34.386388888888803</v>
      </c>
      <c r="C69">
        <v>-106.529444444444</v>
      </c>
      <c r="D69" s="1" t="s">
        <v>275</v>
      </c>
      <c r="E69" t="s">
        <v>276</v>
      </c>
      <c r="F69" t="s">
        <v>49</v>
      </c>
      <c r="G69">
        <v>0.14099999999999999</v>
      </c>
      <c r="H69">
        <v>2.2140014995264101</v>
      </c>
      <c r="I69">
        <v>5.1313234707216701E-2</v>
      </c>
      <c r="J69">
        <v>5</v>
      </c>
      <c r="K69">
        <v>87.5</v>
      </c>
      <c r="L69">
        <v>23.16</v>
      </c>
      <c r="M69">
        <v>1911</v>
      </c>
      <c r="N69">
        <v>12.667087645095901</v>
      </c>
      <c r="O69">
        <v>311.42915626859798</v>
      </c>
      <c r="P69" t="s">
        <v>194</v>
      </c>
      <c r="Q69" t="s">
        <v>195</v>
      </c>
      <c r="R69">
        <v>150</v>
      </c>
      <c r="S69">
        <v>4.0999999999999996</v>
      </c>
      <c r="T69">
        <v>369</v>
      </c>
      <c r="U69">
        <v>0.9</v>
      </c>
      <c r="V69" s="5">
        <v>49</v>
      </c>
      <c r="W69" s="5">
        <v>3</v>
      </c>
      <c r="X69" s="5">
        <v>48</v>
      </c>
      <c r="Y69" s="5">
        <v>1</v>
      </c>
      <c r="Z69" t="s">
        <v>61</v>
      </c>
      <c r="AA69" t="s">
        <v>62</v>
      </c>
      <c r="AB69">
        <v>12.5</v>
      </c>
      <c r="AC69">
        <v>38</v>
      </c>
      <c r="AD69">
        <v>129.5</v>
      </c>
      <c r="AE69" s="6">
        <v>0.61599999999999999</v>
      </c>
      <c r="AF69" s="6">
        <v>0.27</v>
      </c>
      <c r="AG69" s="6">
        <v>11.6</v>
      </c>
      <c r="AH69" s="6">
        <v>12</v>
      </c>
      <c r="AI69">
        <v>35.166699999999999</v>
      </c>
      <c r="AJ69">
        <v>-111.5167</v>
      </c>
      <c r="AK69" t="s">
        <v>277</v>
      </c>
      <c r="AL69">
        <v>21.120212956025</v>
      </c>
      <c r="AM69">
        <v>1.75390657613038</v>
      </c>
      <c r="AN69">
        <v>1684.893</v>
      </c>
      <c r="AO69">
        <v>187.21033333333301</v>
      </c>
      <c r="AP69">
        <v>241.011089085484</v>
      </c>
      <c r="AQ69">
        <v>333.44728500925203</v>
      </c>
      <c r="AR69">
        <v>2.3247310278164699</v>
      </c>
      <c r="AS69">
        <v>7.2170805599333296E-2</v>
      </c>
      <c r="AT69">
        <v>24.096191286198401</v>
      </c>
      <c r="AU69">
        <v>2.2602501715095</v>
      </c>
      <c r="AV69">
        <v>486.502511945908</v>
      </c>
      <c r="AW69">
        <v>336.35875006586099</v>
      </c>
      <c r="AX69">
        <v>2.51997139713297</v>
      </c>
      <c r="AY69">
        <v>7.2760509664979905E-2</v>
      </c>
      <c r="AZ69">
        <v>13.0204617638113</v>
      </c>
      <c r="BA69">
        <v>1.1697285109428299</v>
      </c>
      <c r="BB69">
        <v>2909.1669999999999</v>
      </c>
      <c r="BC69">
        <v>290.91669999999999</v>
      </c>
      <c r="BD69">
        <v>194.64661310310399</v>
      </c>
      <c r="BE69">
        <v>285.02199515882103</v>
      </c>
      <c r="BF69">
        <v>2.4648875215498598</v>
      </c>
      <c r="BG69">
        <v>7.8307683999031E-2</v>
      </c>
      <c r="BH69">
        <v>15.616882796097901</v>
      </c>
      <c r="BI69">
        <v>1.48670562775157</v>
      </c>
      <c r="BJ69">
        <v>409.59568871613999</v>
      </c>
      <c r="BK69">
        <v>286.605319614736</v>
      </c>
      <c r="BL69">
        <v>2.6926276166483598</v>
      </c>
      <c r="BM69">
        <v>7.8717433743875104E-2</v>
      </c>
    </row>
    <row r="70" spans="1:65" x14ac:dyDescent="0.25">
      <c r="A70" t="s">
        <v>197</v>
      </c>
      <c r="B70">
        <v>34.386388888888803</v>
      </c>
      <c r="C70">
        <v>-106.529444444444</v>
      </c>
      <c r="D70" s="1" t="s">
        <v>192</v>
      </c>
      <c r="E70" t="s">
        <v>193</v>
      </c>
      <c r="F70" t="s">
        <v>49</v>
      </c>
      <c r="G70">
        <v>0.14699999999999999</v>
      </c>
      <c r="H70">
        <v>1.80561169903827</v>
      </c>
      <c r="I70">
        <v>-0.42943671365521602</v>
      </c>
      <c r="J70">
        <v>5</v>
      </c>
      <c r="K70">
        <v>12.5</v>
      </c>
      <c r="L70">
        <v>23.16</v>
      </c>
      <c r="M70">
        <v>1911</v>
      </c>
      <c r="N70">
        <v>12.667087645095901</v>
      </c>
      <c r="O70">
        <v>311.42915626859798</v>
      </c>
      <c r="P70" t="s">
        <v>194</v>
      </c>
      <c r="Q70" t="s">
        <v>195</v>
      </c>
      <c r="R70">
        <v>150</v>
      </c>
      <c r="S70">
        <v>4.0999999999999996</v>
      </c>
      <c r="T70">
        <v>369</v>
      </c>
      <c r="U70">
        <v>0.9</v>
      </c>
      <c r="V70" s="5">
        <v>49</v>
      </c>
      <c r="W70" s="5">
        <v>3</v>
      </c>
      <c r="X70" s="5">
        <v>48</v>
      </c>
      <c r="Y70" s="5">
        <v>1</v>
      </c>
      <c r="Z70" t="s">
        <v>61</v>
      </c>
      <c r="AA70" t="s">
        <v>62</v>
      </c>
      <c r="AB70">
        <v>12.5</v>
      </c>
      <c r="AC70">
        <v>30.1</v>
      </c>
      <c r="AD70">
        <v>297.39999999999998</v>
      </c>
      <c r="AE70" s="6">
        <v>0.60329600000000005</v>
      </c>
      <c r="AG70" s="6">
        <v>4.88</v>
      </c>
      <c r="AH70" s="6">
        <v>20</v>
      </c>
      <c r="AI70">
        <v>38.583300000000001</v>
      </c>
      <c r="AJ70">
        <v>-109.5333</v>
      </c>
      <c r="AK70" t="s">
        <v>196</v>
      </c>
      <c r="AL70">
        <v>21.120212956025</v>
      </c>
      <c r="AM70">
        <v>1.75390657613038</v>
      </c>
      <c r="AN70">
        <v>1684.893</v>
      </c>
      <c r="AO70">
        <v>187.21033333333301</v>
      </c>
      <c r="AP70">
        <v>241.011089085484</v>
      </c>
      <c r="AQ70">
        <v>333.44728500925203</v>
      </c>
      <c r="AR70">
        <v>2.3247310278164699</v>
      </c>
      <c r="AS70">
        <v>7.2170805599333296E-2</v>
      </c>
      <c r="AT70">
        <v>24.096191286198401</v>
      </c>
      <c r="AU70">
        <v>2.2602501715095</v>
      </c>
      <c r="AV70">
        <v>486.502511945908</v>
      </c>
      <c r="AW70">
        <v>336.35875006586099</v>
      </c>
      <c r="AX70">
        <v>2.51997139713297</v>
      </c>
      <c r="AY70">
        <v>7.2760509664979905E-2</v>
      </c>
      <c r="AZ70">
        <v>13.0204617638113</v>
      </c>
      <c r="BA70">
        <v>1.1697285109428299</v>
      </c>
      <c r="BB70">
        <v>2909.1669999999999</v>
      </c>
      <c r="BC70">
        <v>290.91669999999999</v>
      </c>
      <c r="BD70">
        <v>194.64661310310399</v>
      </c>
      <c r="BE70">
        <v>285.02199515882103</v>
      </c>
      <c r="BF70">
        <v>2.4648875215498598</v>
      </c>
      <c r="BG70">
        <v>7.8307683999031E-2</v>
      </c>
      <c r="BH70">
        <v>15.616882796097901</v>
      </c>
      <c r="BI70">
        <v>1.48670562775157</v>
      </c>
      <c r="BJ70">
        <v>409.59568871613999</v>
      </c>
      <c r="BK70">
        <v>286.605319614736</v>
      </c>
      <c r="BL70">
        <v>2.6926276166483598</v>
      </c>
      <c r="BM70">
        <v>7.8717433743875104E-2</v>
      </c>
    </row>
    <row r="71" spans="1:65" x14ac:dyDescent="0.25">
      <c r="A71" t="s">
        <v>198</v>
      </c>
      <c r="B71">
        <v>34.386388888888803</v>
      </c>
      <c r="C71">
        <v>-106.529444444444</v>
      </c>
      <c r="D71" s="1" t="s">
        <v>192</v>
      </c>
      <c r="E71" t="s">
        <v>193</v>
      </c>
      <c r="F71" t="s">
        <v>49</v>
      </c>
      <c r="G71">
        <v>0.14499999999999999</v>
      </c>
      <c r="H71">
        <v>0.946217154100369</v>
      </c>
      <c r="I71">
        <v>-0.55408967652655094</v>
      </c>
      <c r="J71">
        <v>5</v>
      </c>
      <c r="K71">
        <v>12.7</v>
      </c>
      <c r="L71">
        <v>17.579999999999998</v>
      </c>
      <c r="M71">
        <v>1911</v>
      </c>
      <c r="N71">
        <v>12.667087645095901</v>
      </c>
      <c r="O71">
        <v>311.42915626859798</v>
      </c>
      <c r="P71" t="s">
        <v>194</v>
      </c>
      <c r="Q71" t="s">
        <v>195</v>
      </c>
      <c r="R71">
        <v>100</v>
      </c>
      <c r="S71">
        <v>4</v>
      </c>
      <c r="T71">
        <v>375</v>
      </c>
      <c r="U71">
        <v>0.72</v>
      </c>
      <c r="V71" s="5">
        <v>54</v>
      </c>
      <c r="W71" s="5">
        <v>6</v>
      </c>
      <c r="X71" s="5">
        <v>40</v>
      </c>
      <c r="Y71" s="5">
        <v>1</v>
      </c>
      <c r="Z71" t="s">
        <v>61</v>
      </c>
      <c r="AA71" t="s">
        <v>62</v>
      </c>
      <c r="AB71">
        <v>5</v>
      </c>
      <c r="AC71">
        <v>23.2</v>
      </c>
      <c r="AD71">
        <v>189.2</v>
      </c>
      <c r="AE71" s="6">
        <v>0.60329600000000005</v>
      </c>
      <c r="AG71" s="6">
        <v>4.88</v>
      </c>
      <c r="AH71" s="6">
        <v>20</v>
      </c>
      <c r="AI71">
        <v>38.583300000000001</v>
      </c>
      <c r="AJ71">
        <v>-109.5333</v>
      </c>
      <c r="AK71" t="s">
        <v>196</v>
      </c>
      <c r="AL71">
        <v>21.120212956025</v>
      </c>
      <c r="AM71">
        <v>1.75390657613038</v>
      </c>
      <c r="AN71">
        <v>1684.893</v>
      </c>
      <c r="AO71">
        <v>187.21033333333301</v>
      </c>
      <c r="AP71">
        <v>241.011089085484</v>
      </c>
      <c r="AQ71">
        <v>333.44728500925203</v>
      </c>
      <c r="AR71">
        <v>2.3247310278164699</v>
      </c>
      <c r="AS71">
        <v>6.2951468984157502E-2</v>
      </c>
      <c r="AT71">
        <v>24.096191286198401</v>
      </c>
      <c r="AU71">
        <v>2.2602501715095</v>
      </c>
      <c r="AV71">
        <v>486.502511945908</v>
      </c>
      <c r="AW71">
        <v>336.35875006586099</v>
      </c>
      <c r="AX71">
        <v>2.51997139713297</v>
      </c>
      <c r="AY71">
        <v>6.4416718936574899E-2</v>
      </c>
      <c r="AZ71">
        <v>13.0204617638113</v>
      </c>
      <c r="BA71">
        <v>1.1697285109428299</v>
      </c>
      <c r="BB71">
        <v>2909.1669999999999</v>
      </c>
      <c r="BC71">
        <v>290.91669999999999</v>
      </c>
      <c r="BD71">
        <v>194.64661310310399</v>
      </c>
      <c r="BE71">
        <v>285.02199515882103</v>
      </c>
      <c r="BF71">
        <v>2.4648875215498598</v>
      </c>
      <c r="BG71">
        <v>6.9393597947112501E-2</v>
      </c>
      <c r="BH71">
        <v>15.616882796097901</v>
      </c>
      <c r="BI71">
        <v>1.48670562775157</v>
      </c>
      <c r="BJ71">
        <v>409.59568871613999</v>
      </c>
      <c r="BK71">
        <v>286.605319614736</v>
      </c>
      <c r="BL71">
        <v>2.6926276166483598</v>
      </c>
      <c r="BM71">
        <v>7.0605018042465995E-2</v>
      </c>
    </row>
    <row r="72" spans="1:65" x14ac:dyDescent="0.25">
      <c r="A72" t="s">
        <v>278</v>
      </c>
      <c r="B72">
        <v>39.915630555555502</v>
      </c>
      <c r="C72">
        <v>-74.595555555555507</v>
      </c>
      <c r="D72" s="1" t="s">
        <v>279</v>
      </c>
      <c r="E72" t="s">
        <v>280</v>
      </c>
      <c r="F72" t="s">
        <v>49</v>
      </c>
      <c r="G72">
        <v>4.8000000000000001E-2</v>
      </c>
      <c r="H72">
        <v>8.7303518988363003</v>
      </c>
      <c r="I72">
        <v>0.43631961036162897</v>
      </c>
      <c r="J72">
        <v>1</v>
      </c>
      <c r="K72">
        <v>8</v>
      </c>
      <c r="L72">
        <v>15.6</v>
      </c>
      <c r="M72">
        <v>33</v>
      </c>
      <c r="N72">
        <v>12.9</v>
      </c>
      <c r="O72">
        <v>1180.33985965492</v>
      </c>
      <c r="P72" t="s">
        <v>71</v>
      </c>
      <c r="Q72" t="s">
        <v>51</v>
      </c>
      <c r="R72">
        <v>80</v>
      </c>
      <c r="S72">
        <v>9.5</v>
      </c>
      <c r="T72">
        <v>1323</v>
      </c>
      <c r="U72">
        <v>3.6</v>
      </c>
      <c r="V72" s="5">
        <v>98</v>
      </c>
      <c r="W72" s="5">
        <v>1</v>
      </c>
      <c r="X72" s="5">
        <v>1</v>
      </c>
      <c r="Y72" s="5">
        <v>1</v>
      </c>
      <c r="Z72" t="s">
        <v>52</v>
      </c>
      <c r="AA72" t="s">
        <v>53</v>
      </c>
      <c r="AB72">
        <v>30</v>
      </c>
      <c r="AC72">
        <v>35.700000000000003</v>
      </c>
      <c r="AD72">
        <v>532.03118685019297</v>
      </c>
      <c r="AE72" s="6">
        <v>0.47</v>
      </c>
      <c r="AK72" t="s">
        <v>281</v>
      </c>
      <c r="AL72">
        <v>21.021112264539902</v>
      </c>
      <c r="AM72">
        <v>0.89689196194547105</v>
      </c>
      <c r="AN72">
        <v>2416.5100000000002</v>
      </c>
      <c r="AO72">
        <v>402.75166666666598</v>
      </c>
      <c r="AP72">
        <v>209.787629674611</v>
      </c>
      <c r="AQ72">
        <v>298.237626025395</v>
      </c>
      <c r="AS72">
        <v>7.1150505398859795E-2</v>
      </c>
      <c r="AT72">
        <v>23.474439781446101</v>
      </c>
      <c r="AU72">
        <v>1.30318103136258</v>
      </c>
      <c r="AV72">
        <v>410.60766758693001</v>
      </c>
      <c r="AW72">
        <v>312.12342972790498</v>
      </c>
      <c r="AY72">
        <v>7.1754962268520198E-2</v>
      </c>
      <c r="AZ72">
        <v>12.4973849621011</v>
      </c>
      <c r="BA72">
        <v>0.58969766002778401</v>
      </c>
      <c r="BB72">
        <v>6027.6239999999998</v>
      </c>
      <c r="BC72">
        <v>1004.604</v>
      </c>
      <c r="BD72">
        <v>153.27600567971601</v>
      </c>
      <c r="BE72">
        <v>223.89582835149201</v>
      </c>
      <c r="BG72">
        <v>7.9548430106568105E-2</v>
      </c>
      <c r="BH72">
        <v>14.5049015676086</v>
      </c>
      <c r="BI72">
        <v>0.83574727853075803</v>
      </c>
      <c r="BJ72">
        <v>307.09023081457502</v>
      </c>
      <c r="BK72">
        <v>232.697149005771</v>
      </c>
      <c r="BM72">
        <v>7.9895474748514494E-2</v>
      </c>
    </row>
    <row r="73" spans="1:65" x14ac:dyDescent="0.25">
      <c r="A73" t="s">
        <v>278</v>
      </c>
      <c r="B73">
        <v>39.915630555555502</v>
      </c>
      <c r="C73">
        <v>-74.595555555555507</v>
      </c>
      <c r="D73" s="1" t="s">
        <v>203</v>
      </c>
      <c r="E73" t="s">
        <v>204</v>
      </c>
      <c r="F73" t="s">
        <v>49</v>
      </c>
      <c r="G73">
        <v>4.8000000000000001E-2</v>
      </c>
      <c r="H73">
        <v>35.192850996638498</v>
      </c>
      <c r="I73">
        <v>0.63850485282510805</v>
      </c>
      <c r="J73">
        <v>7</v>
      </c>
      <c r="K73">
        <v>44</v>
      </c>
      <c r="L73">
        <v>15.6</v>
      </c>
      <c r="M73">
        <v>33</v>
      </c>
      <c r="N73">
        <v>12.9</v>
      </c>
      <c r="O73">
        <v>1180.33985965492</v>
      </c>
      <c r="P73" t="s">
        <v>71</v>
      </c>
      <c r="Q73" t="s">
        <v>51</v>
      </c>
      <c r="R73">
        <v>80</v>
      </c>
      <c r="S73">
        <v>9.5</v>
      </c>
      <c r="T73">
        <v>1323</v>
      </c>
      <c r="U73">
        <v>3.6</v>
      </c>
      <c r="V73" s="5">
        <v>98</v>
      </c>
      <c r="W73" s="5">
        <v>1</v>
      </c>
      <c r="X73" s="5">
        <v>1</v>
      </c>
      <c r="Y73" s="5">
        <v>1</v>
      </c>
      <c r="Z73" t="s">
        <v>52</v>
      </c>
      <c r="AA73" t="s">
        <v>53</v>
      </c>
      <c r="AB73">
        <v>30</v>
      </c>
      <c r="AC73">
        <v>16.5</v>
      </c>
      <c r="AD73">
        <v>53.075521359126299</v>
      </c>
      <c r="AE73" s="6">
        <v>0.61</v>
      </c>
      <c r="AI73">
        <v>38.880000000000003</v>
      </c>
      <c r="AJ73">
        <v>-78</v>
      </c>
      <c r="AK73" t="s">
        <v>205</v>
      </c>
      <c r="AL73">
        <v>21.021112264539902</v>
      </c>
      <c r="AM73">
        <v>0.89689196194547105</v>
      </c>
      <c r="AN73">
        <v>2416.5100000000002</v>
      </c>
      <c r="AO73">
        <v>402.75166666666598</v>
      </c>
      <c r="AP73">
        <v>209.787629674611</v>
      </c>
      <c r="AQ73">
        <v>298.237626025395</v>
      </c>
      <c r="AS73">
        <v>7.1150505398859795E-2</v>
      </c>
      <c r="AT73">
        <v>23.474439781446101</v>
      </c>
      <c r="AU73">
        <v>1.30318103136258</v>
      </c>
      <c r="AV73">
        <v>410.60766758693001</v>
      </c>
      <c r="AW73">
        <v>312.12342972790498</v>
      </c>
      <c r="AY73">
        <v>7.1754962268520198E-2</v>
      </c>
      <c r="AZ73">
        <v>12.4973849621011</v>
      </c>
      <c r="BA73">
        <v>0.58969766002778401</v>
      </c>
      <c r="BB73">
        <v>6027.6239999999998</v>
      </c>
      <c r="BC73">
        <v>1004.604</v>
      </c>
      <c r="BD73">
        <v>153.27600567971601</v>
      </c>
      <c r="BE73">
        <v>223.89582835149201</v>
      </c>
      <c r="BG73">
        <v>7.9548430106568105E-2</v>
      </c>
      <c r="BH73">
        <v>14.5049015676086</v>
      </c>
      <c r="BI73">
        <v>0.83574727853075803</v>
      </c>
      <c r="BJ73">
        <v>307.09023081457502</v>
      </c>
      <c r="BK73">
        <v>232.697149005771</v>
      </c>
      <c r="BM73">
        <v>7.9895474748514494E-2</v>
      </c>
    </row>
    <row r="74" spans="1:65" x14ac:dyDescent="0.25">
      <c r="A74" t="s">
        <v>199</v>
      </c>
      <c r="B74">
        <v>39.915630555555502</v>
      </c>
      <c r="C74">
        <v>-74.595555555555507</v>
      </c>
      <c r="D74" s="1" t="s">
        <v>200</v>
      </c>
      <c r="E74" t="s">
        <v>201</v>
      </c>
      <c r="F74" t="s">
        <v>49</v>
      </c>
      <c r="G74">
        <v>5.7000000000000002E-2</v>
      </c>
      <c r="H74">
        <v>0.187013926624119</v>
      </c>
      <c r="I74">
        <v>-2.94300692038326E-2</v>
      </c>
      <c r="J74">
        <v>8</v>
      </c>
      <c r="K74">
        <v>14</v>
      </c>
      <c r="L74">
        <v>15.6</v>
      </c>
      <c r="M74">
        <v>33</v>
      </c>
      <c r="N74">
        <v>12.9</v>
      </c>
      <c r="O74">
        <v>1180.33985965492</v>
      </c>
      <c r="P74" t="s">
        <v>71</v>
      </c>
      <c r="Q74" t="s">
        <v>51</v>
      </c>
      <c r="R74">
        <v>80</v>
      </c>
      <c r="S74">
        <v>9.5</v>
      </c>
      <c r="T74">
        <v>1323</v>
      </c>
      <c r="U74">
        <v>3.6</v>
      </c>
      <c r="V74" s="5">
        <v>98</v>
      </c>
      <c r="W74" s="5">
        <v>1</v>
      </c>
      <c r="X74" s="5">
        <v>1</v>
      </c>
      <c r="Y74" s="5">
        <v>1</v>
      </c>
      <c r="Z74" t="s">
        <v>52</v>
      </c>
      <c r="AA74" t="s">
        <v>53</v>
      </c>
      <c r="AB74">
        <v>30</v>
      </c>
      <c r="AC74">
        <v>18.675000000000001</v>
      </c>
      <c r="AD74">
        <v>71.947782651696897</v>
      </c>
      <c r="AE74" s="6">
        <v>0.61</v>
      </c>
      <c r="AK74" t="s">
        <v>202</v>
      </c>
      <c r="AL74">
        <v>21.021112264539902</v>
      </c>
      <c r="AM74">
        <v>0.89689196194547105</v>
      </c>
      <c r="AN74">
        <v>2416.5100000000002</v>
      </c>
      <c r="AO74">
        <v>402.75166666666598</v>
      </c>
      <c r="AP74">
        <v>209.787629674611</v>
      </c>
      <c r="AQ74">
        <v>298.237626025395</v>
      </c>
      <c r="AS74">
        <v>7.1150505398859795E-2</v>
      </c>
      <c r="AT74">
        <v>23.474439781446101</v>
      </c>
      <c r="AU74">
        <v>1.30318103136258</v>
      </c>
      <c r="AV74">
        <v>410.60766758693001</v>
      </c>
      <c r="AW74">
        <v>312.12342972790498</v>
      </c>
      <c r="AY74">
        <v>7.1754962268520198E-2</v>
      </c>
      <c r="AZ74">
        <v>12.4973849621011</v>
      </c>
      <c r="BA74">
        <v>0.58969766002778401</v>
      </c>
      <c r="BB74">
        <v>6027.6239999999998</v>
      </c>
      <c r="BC74">
        <v>1004.604</v>
      </c>
      <c r="BD74">
        <v>153.27600567971601</v>
      </c>
      <c r="BE74">
        <v>223.89582835149201</v>
      </c>
      <c r="BG74">
        <v>7.9548430106568105E-2</v>
      </c>
      <c r="BH74">
        <v>14.5049015676086</v>
      </c>
      <c r="BI74">
        <v>0.83574727853075803</v>
      </c>
      <c r="BJ74">
        <v>307.09023081457502</v>
      </c>
      <c r="BK74">
        <v>232.697149005771</v>
      </c>
      <c r="BM74">
        <v>7.9895474748514494E-2</v>
      </c>
    </row>
    <row r="75" spans="1:65" x14ac:dyDescent="0.25">
      <c r="A75" t="s">
        <v>199</v>
      </c>
      <c r="B75">
        <v>39.915630555555502</v>
      </c>
      <c r="C75">
        <v>-74.595555555555507</v>
      </c>
      <c r="D75" s="1" t="s">
        <v>203</v>
      </c>
      <c r="E75" t="s">
        <v>204</v>
      </c>
      <c r="F75" t="s">
        <v>49</v>
      </c>
      <c r="G75">
        <v>5.0999999999999997E-2</v>
      </c>
      <c r="H75">
        <v>0.51999949953918001</v>
      </c>
      <c r="I75">
        <v>-1.9280104937883999E-2</v>
      </c>
      <c r="J75">
        <v>7</v>
      </c>
      <c r="K75">
        <v>44</v>
      </c>
      <c r="L75">
        <v>15.6</v>
      </c>
      <c r="M75">
        <v>33</v>
      </c>
      <c r="N75">
        <v>12.9</v>
      </c>
      <c r="O75">
        <v>1180.33985965492</v>
      </c>
      <c r="P75" t="s">
        <v>71</v>
      </c>
      <c r="Q75" t="s">
        <v>51</v>
      </c>
      <c r="R75">
        <v>80</v>
      </c>
      <c r="S75">
        <v>9.5</v>
      </c>
      <c r="T75">
        <v>1323</v>
      </c>
      <c r="U75">
        <v>3.6</v>
      </c>
      <c r="V75" s="5">
        <v>98</v>
      </c>
      <c r="W75" s="5">
        <v>1</v>
      </c>
      <c r="X75" s="5">
        <v>1</v>
      </c>
      <c r="Y75" s="5">
        <v>1</v>
      </c>
      <c r="Z75" t="s">
        <v>52</v>
      </c>
      <c r="AA75" t="s">
        <v>53</v>
      </c>
      <c r="AB75">
        <v>30</v>
      </c>
      <c r="AC75">
        <v>16.5</v>
      </c>
      <c r="AD75">
        <v>53.075521359126299</v>
      </c>
      <c r="AE75" s="6">
        <v>0.61</v>
      </c>
      <c r="AI75">
        <v>38.880000000000003</v>
      </c>
      <c r="AJ75">
        <v>-78</v>
      </c>
      <c r="AK75" t="s">
        <v>205</v>
      </c>
      <c r="AL75">
        <v>21.021112264539902</v>
      </c>
      <c r="AM75">
        <v>0.89689196194547105</v>
      </c>
      <c r="AN75">
        <v>2416.5100000000002</v>
      </c>
      <c r="AO75">
        <v>402.75166666666598</v>
      </c>
      <c r="AP75">
        <v>209.787629674611</v>
      </c>
      <c r="AQ75">
        <v>298.237626025395</v>
      </c>
      <c r="AS75">
        <v>7.1150505398859795E-2</v>
      </c>
      <c r="AT75">
        <v>23.474439781446101</v>
      </c>
      <c r="AU75">
        <v>1.30318103136258</v>
      </c>
      <c r="AV75">
        <v>410.60766758693001</v>
      </c>
      <c r="AW75">
        <v>312.12342972790498</v>
      </c>
      <c r="AY75">
        <v>7.1754962268520198E-2</v>
      </c>
      <c r="AZ75">
        <v>12.4973849621011</v>
      </c>
      <c r="BA75">
        <v>0.58969766002778401</v>
      </c>
      <c r="BB75">
        <v>6027.6239999999998</v>
      </c>
      <c r="BC75">
        <v>1004.604</v>
      </c>
      <c r="BD75">
        <v>153.27600567971601</v>
      </c>
      <c r="BE75">
        <v>223.89582835149201</v>
      </c>
      <c r="BG75">
        <v>7.9548430106568105E-2</v>
      </c>
      <c r="BH75">
        <v>14.5049015676086</v>
      </c>
      <c r="BI75">
        <v>0.83574727853075803</v>
      </c>
      <c r="BJ75">
        <v>307.09023081457502</v>
      </c>
      <c r="BK75">
        <v>232.697149005771</v>
      </c>
      <c r="BM75">
        <v>7.9895474748514494E-2</v>
      </c>
    </row>
    <row r="76" spans="1:65" x14ac:dyDescent="0.25">
      <c r="A76" t="s">
        <v>199</v>
      </c>
      <c r="B76">
        <v>39.915630555555502</v>
      </c>
      <c r="C76">
        <v>-74.595555555555507</v>
      </c>
      <c r="D76" s="1" t="s">
        <v>206</v>
      </c>
      <c r="E76" t="s">
        <v>207</v>
      </c>
      <c r="F76" t="s">
        <v>49</v>
      </c>
      <c r="G76">
        <v>5.0999999999999997E-2</v>
      </c>
      <c r="H76">
        <v>0.42452147378713201</v>
      </c>
      <c r="I76">
        <v>-0.128091218391608</v>
      </c>
      <c r="J76">
        <v>6</v>
      </c>
      <c r="K76">
        <v>27</v>
      </c>
      <c r="L76">
        <v>15.6</v>
      </c>
      <c r="M76">
        <v>33</v>
      </c>
      <c r="N76">
        <v>12.9</v>
      </c>
      <c r="O76">
        <v>1180.33985965492</v>
      </c>
      <c r="P76" t="s">
        <v>71</v>
      </c>
      <c r="Q76" t="s">
        <v>51</v>
      </c>
      <c r="R76">
        <v>80</v>
      </c>
      <c r="S76">
        <v>9.5</v>
      </c>
      <c r="T76">
        <v>1323</v>
      </c>
      <c r="U76">
        <v>3.6</v>
      </c>
      <c r="V76" s="5">
        <v>98</v>
      </c>
      <c r="W76" s="5">
        <v>1</v>
      </c>
      <c r="X76" s="5">
        <v>1</v>
      </c>
      <c r="Y76" s="5">
        <v>1</v>
      </c>
      <c r="Z76" t="s">
        <v>52</v>
      </c>
      <c r="AA76" t="s">
        <v>53</v>
      </c>
      <c r="AB76">
        <v>30</v>
      </c>
      <c r="AC76">
        <v>17.799999999999901</v>
      </c>
      <c r="AD76">
        <v>64.225668936882997</v>
      </c>
      <c r="AE76" s="6">
        <v>0.65</v>
      </c>
      <c r="AG76" s="6">
        <v>2.5299999999999998</v>
      </c>
      <c r="AI76">
        <v>38.880000000000003</v>
      </c>
      <c r="AJ76">
        <v>-78</v>
      </c>
      <c r="AK76" t="s">
        <v>295</v>
      </c>
      <c r="AL76">
        <v>21.021112264539902</v>
      </c>
      <c r="AM76">
        <v>0.89689196194547105</v>
      </c>
      <c r="AN76">
        <v>2416.5100000000002</v>
      </c>
      <c r="AO76">
        <v>402.75166666666598</v>
      </c>
      <c r="AP76">
        <v>209.787629674611</v>
      </c>
      <c r="AQ76">
        <v>298.237626025395</v>
      </c>
      <c r="AS76">
        <v>7.1150505398859795E-2</v>
      </c>
      <c r="AT76">
        <v>23.474439781446101</v>
      </c>
      <c r="AU76">
        <v>1.30318103136258</v>
      </c>
      <c r="AV76">
        <v>410.60766758693001</v>
      </c>
      <c r="AW76">
        <v>312.12342972790498</v>
      </c>
      <c r="AY76">
        <v>7.1754962268520198E-2</v>
      </c>
      <c r="AZ76">
        <v>12.4973849621011</v>
      </c>
      <c r="BA76">
        <v>0.58969766002778401</v>
      </c>
      <c r="BB76">
        <v>6027.6239999999998</v>
      </c>
      <c r="BC76">
        <v>1004.604</v>
      </c>
      <c r="BD76">
        <v>153.27600567971601</v>
      </c>
      <c r="BE76">
        <v>223.89582835149201</v>
      </c>
      <c r="BG76">
        <v>7.9548430106568105E-2</v>
      </c>
      <c r="BH76">
        <v>14.5049015676086</v>
      </c>
      <c r="BI76">
        <v>0.83574727853075803</v>
      </c>
      <c r="BJ76">
        <v>307.09023081457502</v>
      </c>
      <c r="BK76">
        <v>232.697149005771</v>
      </c>
      <c r="BM76">
        <v>7.9895474748514494E-2</v>
      </c>
    </row>
    <row r="77" spans="1:65" x14ac:dyDescent="0.25">
      <c r="A77" t="s">
        <v>303</v>
      </c>
      <c r="B77">
        <v>46.2420166666667</v>
      </c>
      <c r="C77">
        <v>-89.347650000000002</v>
      </c>
      <c r="D77" s="1" t="s">
        <v>209</v>
      </c>
      <c r="E77" t="s">
        <v>210</v>
      </c>
      <c r="F77" t="s">
        <v>118</v>
      </c>
      <c r="G77">
        <v>0.18099999999999999</v>
      </c>
      <c r="H77">
        <v>10.830653582776399</v>
      </c>
      <c r="I77">
        <v>-6.3545638616685096</v>
      </c>
      <c r="J77">
        <v>7</v>
      </c>
      <c r="K77">
        <v>66</v>
      </c>
      <c r="M77">
        <v>500</v>
      </c>
      <c r="N77">
        <v>4.3</v>
      </c>
      <c r="O77">
        <v>878.58388156786805</v>
      </c>
      <c r="P77" t="s">
        <v>59</v>
      </c>
      <c r="Q77" t="s">
        <v>51</v>
      </c>
      <c r="S77">
        <v>27</v>
      </c>
      <c r="V77" s="5">
        <v>48.63</v>
      </c>
      <c r="W77" s="5">
        <v>9.77</v>
      </c>
      <c r="X77" s="5">
        <v>41.6</v>
      </c>
      <c r="Y77" s="5">
        <v>2</v>
      </c>
      <c r="AA77" t="s">
        <v>312</v>
      </c>
      <c r="AB77">
        <v>7.5</v>
      </c>
      <c r="AC77">
        <v>23.5</v>
      </c>
      <c r="AD77">
        <v>214.9141789</v>
      </c>
      <c r="AE77" s="6">
        <v>0.56000000000000005</v>
      </c>
      <c r="AF77" s="6">
        <v>4.6950000000000003</v>
      </c>
      <c r="AG77" s="6">
        <v>2.8730000000000002</v>
      </c>
      <c r="AH77" s="6">
        <v>35</v>
      </c>
      <c r="AK77" t="s">
        <v>211</v>
      </c>
      <c r="AL77">
        <v>16.357826462591099</v>
      </c>
      <c r="AM77">
        <v>0.61223283425583097</v>
      </c>
      <c r="AN77">
        <v>935.05450190800002</v>
      </c>
      <c r="AO77">
        <v>467.52725095400001</v>
      </c>
      <c r="AP77">
        <v>357.622516177992</v>
      </c>
      <c r="AQ77">
        <v>301.45757166886398</v>
      </c>
      <c r="AR77">
        <v>2.9259388240299402</v>
      </c>
      <c r="AS77">
        <v>0.25835635305739102</v>
      </c>
      <c r="AT77">
        <v>18.252577872769798</v>
      </c>
      <c r="AU77">
        <v>0.84459274805664797</v>
      </c>
      <c r="AV77">
        <v>426.53034416861601</v>
      </c>
      <c r="AW77">
        <v>340.57261807095898</v>
      </c>
      <c r="AX77">
        <v>3.0783401678824398</v>
      </c>
      <c r="AY77">
        <v>0.25877593950073702</v>
      </c>
      <c r="AZ77">
        <v>6.2978896505678499</v>
      </c>
      <c r="BA77">
        <v>0.36316398444569298</v>
      </c>
      <c r="BB77">
        <v>1509.812784018</v>
      </c>
      <c r="BC77">
        <v>503.27092800600002</v>
      </c>
      <c r="BD77">
        <v>264.42080362856899</v>
      </c>
      <c r="BE77">
        <v>220.07318834451701</v>
      </c>
      <c r="BF77">
        <v>3.05756783771939</v>
      </c>
      <c r="BG77">
        <v>0.27579805349706299</v>
      </c>
      <c r="BH77">
        <v>7.7915405229897399</v>
      </c>
      <c r="BI77">
        <v>0.50572789186051503</v>
      </c>
      <c r="BJ77">
        <v>306.00422095470702</v>
      </c>
      <c r="BK77">
        <v>242.28955984247901</v>
      </c>
      <c r="BL77">
        <v>3.1640894959168202</v>
      </c>
      <c r="BM77">
        <v>0.27580684400675198</v>
      </c>
    </row>
    <row r="78" spans="1:65" x14ac:dyDescent="0.25">
      <c r="A78" t="s">
        <v>208</v>
      </c>
      <c r="B78">
        <v>46.2420166666667</v>
      </c>
      <c r="C78">
        <v>-89.347650000000002</v>
      </c>
      <c r="D78" s="1" t="s">
        <v>212</v>
      </c>
      <c r="E78" t="s">
        <v>213</v>
      </c>
      <c r="F78" t="s">
        <v>118</v>
      </c>
      <c r="G78">
        <v>0.13500000000000001</v>
      </c>
      <c r="H78">
        <v>19.2329915536599</v>
      </c>
      <c r="I78">
        <v>-3.8680499739667602</v>
      </c>
      <c r="J78">
        <v>9</v>
      </c>
      <c r="K78">
        <v>14</v>
      </c>
      <c r="M78">
        <v>500</v>
      </c>
      <c r="N78">
        <v>4.3</v>
      </c>
      <c r="O78">
        <v>878.58388156786805</v>
      </c>
      <c r="P78" t="s">
        <v>59</v>
      </c>
      <c r="Q78" t="s">
        <v>51</v>
      </c>
      <c r="S78">
        <v>27</v>
      </c>
      <c r="V78" s="5">
        <v>48.63</v>
      </c>
      <c r="W78" s="5">
        <v>9.77</v>
      </c>
      <c r="X78" s="5">
        <v>41.6</v>
      </c>
      <c r="Y78" s="5">
        <v>2</v>
      </c>
      <c r="AA78" t="s">
        <v>312</v>
      </c>
      <c r="AB78">
        <v>7.5</v>
      </c>
      <c r="AC78">
        <v>27</v>
      </c>
      <c r="AD78">
        <v>389.09137399999997</v>
      </c>
      <c r="AE78" s="6">
        <v>0.38</v>
      </c>
      <c r="AF78" s="6">
        <v>0.32900000000000001</v>
      </c>
      <c r="AG78" s="6">
        <v>3.07</v>
      </c>
      <c r="AH78" s="6">
        <v>53</v>
      </c>
      <c r="AI78">
        <v>44.816699999999997</v>
      </c>
      <c r="AJ78">
        <v>-79.400000000000006</v>
      </c>
      <c r="AK78" t="s">
        <v>214</v>
      </c>
      <c r="AL78">
        <v>16.357826462591099</v>
      </c>
      <c r="AM78">
        <v>0.61223283425583097</v>
      </c>
      <c r="AN78">
        <v>935.05450190800002</v>
      </c>
      <c r="AO78">
        <v>467.52725095400001</v>
      </c>
      <c r="AP78">
        <v>357.622516177992</v>
      </c>
      <c r="AQ78">
        <v>301.45757166886398</v>
      </c>
      <c r="AR78">
        <v>2.9259388240299402</v>
      </c>
      <c r="AS78">
        <v>0.25835635305739102</v>
      </c>
      <c r="AT78">
        <v>18.252577872769798</v>
      </c>
      <c r="AU78">
        <v>0.84459274805664797</v>
      </c>
      <c r="AV78">
        <v>426.53034416861601</v>
      </c>
      <c r="AW78">
        <v>340.57261807095898</v>
      </c>
      <c r="AX78">
        <v>3.0783401678824398</v>
      </c>
      <c r="AY78">
        <v>0.25877593950073702</v>
      </c>
      <c r="AZ78">
        <v>6.2978896505678499</v>
      </c>
      <c r="BA78">
        <v>0.36316398444569298</v>
      </c>
      <c r="BB78">
        <v>1509.812784018</v>
      </c>
      <c r="BC78">
        <v>503.27092800600002</v>
      </c>
      <c r="BD78">
        <v>264.42080362856899</v>
      </c>
      <c r="BE78">
        <v>220.07318834451701</v>
      </c>
      <c r="BF78">
        <v>3.05756783771939</v>
      </c>
      <c r="BG78">
        <v>0.27579805349706299</v>
      </c>
      <c r="BH78">
        <v>7.7915405229897399</v>
      </c>
      <c r="BI78">
        <v>0.50572789186051503</v>
      </c>
      <c r="BJ78">
        <v>306.00422095470702</v>
      </c>
      <c r="BK78">
        <v>242.28955984247901</v>
      </c>
      <c r="BL78">
        <v>3.1640894959168202</v>
      </c>
      <c r="BM78">
        <v>0.27580684400675198</v>
      </c>
    </row>
    <row r="79" spans="1:65" x14ac:dyDescent="0.25">
      <c r="A79" t="s">
        <v>215</v>
      </c>
      <c r="B79">
        <v>36.471196999999997</v>
      </c>
      <c r="C79">
        <v>-84.704071999999996</v>
      </c>
      <c r="D79" s="1" t="s">
        <v>218</v>
      </c>
      <c r="E79" t="s">
        <v>219</v>
      </c>
      <c r="F79" t="s">
        <v>49</v>
      </c>
      <c r="G79">
        <v>0.13300000000000001</v>
      </c>
      <c r="H79">
        <v>38.470354096089601</v>
      </c>
      <c r="I79">
        <v>5.0228435251730303</v>
      </c>
      <c r="J79">
        <v>4</v>
      </c>
      <c r="K79">
        <v>34</v>
      </c>
      <c r="L79">
        <v>26.3</v>
      </c>
      <c r="M79">
        <v>454</v>
      </c>
      <c r="N79">
        <v>13.508674514960401</v>
      </c>
      <c r="O79">
        <v>1409.43327337407</v>
      </c>
      <c r="P79" t="s">
        <v>71</v>
      </c>
      <c r="Q79" t="s">
        <v>51</v>
      </c>
      <c r="R79">
        <v>40</v>
      </c>
      <c r="S79">
        <v>25</v>
      </c>
      <c r="T79">
        <v>1658</v>
      </c>
      <c r="U79">
        <v>4.7</v>
      </c>
      <c r="V79" s="5">
        <v>36.229999999999997</v>
      </c>
      <c r="W79" s="5">
        <v>19.940000000000001</v>
      </c>
      <c r="X79" s="5">
        <v>43.83</v>
      </c>
      <c r="Y79" s="5">
        <v>2</v>
      </c>
      <c r="AA79" t="s">
        <v>312</v>
      </c>
      <c r="AB79">
        <v>30</v>
      </c>
      <c r="AC79">
        <v>37.1</v>
      </c>
      <c r="AD79">
        <v>851</v>
      </c>
      <c r="AE79" s="6">
        <v>0.51400000000000001</v>
      </c>
      <c r="AF79" s="6">
        <v>0.55000000000000004</v>
      </c>
      <c r="AG79" s="6">
        <v>1.97</v>
      </c>
      <c r="AH79" s="6">
        <v>27</v>
      </c>
      <c r="AI79">
        <v>36.0167</v>
      </c>
      <c r="AJ79">
        <v>-78.9833</v>
      </c>
      <c r="AK79" t="s">
        <v>167</v>
      </c>
      <c r="AL79">
        <v>21.495829285980701</v>
      </c>
      <c r="AM79">
        <v>0.662753174489914</v>
      </c>
      <c r="AN79">
        <v>962.69998999999996</v>
      </c>
      <c r="AO79">
        <v>481.34999499999998</v>
      </c>
      <c r="AP79">
        <v>229.67699452674501</v>
      </c>
      <c r="AR79">
        <v>0.52002611004437604</v>
      </c>
      <c r="AS79">
        <v>0.21987105856908101</v>
      </c>
      <c r="AT79">
        <v>24.3330315246561</v>
      </c>
      <c r="AU79">
        <v>1.0817036556055999</v>
      </c>
      <c r="AV79">
        <v>429.95155385304599</v>
      </c>
      <c r="AX79">
        <v>0.80608931899641501</v>
      </c>
      <c r="AY79">
        <v>0.22025151418757399</v>
      </c>
      <c r="AZ79">
        <v>14.9893346148235</v>
      </c>
      <c r="BA79">
        <v>0.52577203288170404</v>
      </c>
      <c r="BB79">
        <v>1826.29997</v>
      </c>
      <c r="BC79">
        <v>913.14998500000002</v>
      </c>
      <c r="BD79">
        <v>167.498290269389</v>
      </c>
      <c r="BF79">
        <v>0.66421301812609801</v>
      </c>
      <c r="BG79">
        <v>0.231629100230379</v>
      </c>
      <c r="BH79">
        <v>17.492031937413099</v>
      </c>
      <c r="BI79">
        <v>0.82658197535293898</v>
      </c>
      <c r="BJ79">
        <v>320.65493813570299</v>
      </c>
      <c r="BL79">
        <v>0.93570916983733399</v>
      </c>
      <c r="BM79">
        <v>0.23181187307047699</v>
      </c>
    </row>
    <row r="80" spans="1:65" x14ac:dyDescent="0.25">
      <c r="A80" t="s">
        <v>215</v>
      </c>
      <c r="B80">
        <v>36.471196999999997</v>
      </c>
      <c r="C80">
        <v>-84.704071999999996</v>
      </c>
      <c r="D80" s="1" t="s">
        <v>200</v>
      </c>
      <c r="E80" t="s">
        <v>201</v>
      </c>
      <c r="F80" t="s">
        <v>118</v>
      </c>
      <c r="G80">
        <v>0.14699999999999999</v>
      </c>
      <c r="H80">
        <v>5.2487029421715601</v>
      </c>
      <c r="I80">
        <v>0.77360265661831995</v>
      </c>
      <c r="J80">
        <v>1</v>
      </c>
      <c r="L80">
        <v>26.3</v>
      </c>
      <c r="M80">
        <v>454</v>
      </c>
      <c r="N80">
        <v>13.508674514960401</v>
      </c>
      <c r="O80">
        <v>1409.43327337407</v>
      </c>
      <c r="P80" t="s">
        <v>71</v>
      </c>
      <c r="Q80" t="s">
        <v>51</v>
      </c>
      <c r="R80">
        <v>40</v>
      </c>
      <c r="S80">
        <v>25</v>
      </c>
      <c r="T80">
        <v>1658</v>
      </c>
      <c r="U80">
        <v>4.7</v>
      </c>
      <c r="V80" s="5">
        <v>36.229999999999997</v>
      </c>
      <c r="W80" s="5">
        <v>19.940000000000001</v>
      </c>
      <c r="X80" s="5">
        <v>43.83</v>
      </c>
      <c r="Y80" s="5">
        <v>2</v>
      </c>
      <c r="AA80" t="s">
        <v>312</v>
      </c>
      <c r="AB80">
        <v>30</v>
      </c>
      <c r="AC80">
        <v>51.4</v>
      </c>
      <c r="AD80">
        <v>436</v>
      </c>
      <c r="AE80" s="6">
        <v>0.61</v>
      </c>
      <c r="AK80" t="s">
        <v>202</v>
      </c>
      <c r="AL80">
        <v>21.495829285980701</v>
      </c>
      <c r="AM80">
        <v>0.662753174489914</v>
      </c>
      <c r="AN80">
        <v>962.69998999999996</v>
      </c>
      <c r="AO80">
        <v>481.34999499999998</v>
      </c>
      <c r="AP80">
        <v>229.67699452674501</v>
      </c>
      <c r="AR80">
        <v>0.52002611004437604</v>
      </c>
      <c r="AS80">
        <v>0.21987105856908101</v>
      </c>
      <c r="AT80">
        <v>24.3330315246561</v>
      </c>
      <c r="AU80">
        <v>1.0817036556055999</v>
      </c>
      <c r="AV80">
        <v>429.95155385304599</v>
      </c>
      <c r="AX80">
        <v>0.80608931899641501</v>
      </c>
      <c r="AY80">
        <v>0.22025151418757399</v>
      </c>
      <c r="AZ80">
        <v>14.9893346148235</v>
      </c>
      <c r="BA80">
        <v>0.52577203288170404</v>
      </c>
      <c r="BB80">
        <v>1826.29997</v>
      </c>
      <c r="BC80">
        <v>913.14998500000002</v>
      </c>
      <c r="BD80">
        <v>167.498290269389</v>
      </c>
      <c r="BF80">
        <v>0.66421301812609801</v>
      </c>
      <c r="BG80">
        <v>0.231629100230379</v>
      </c>
      <c r="BH80">
        <v>17.492031937413099</v>
      </c>
      <c r="BI80">
        <v>0.82658197535293898</v>
      </c>
      <c r="BJ80">
        <v>320.65493813570299</v>
      </c>
      <c r="BL80">
        <v>0.93570916983733399</v>
      </c>
      <c r="BM80">
        <v>0.23181187307047699</v>
      </c>
    </row>
    <row r="81" spans="1:65" x14ac:dyDescent="0.25">
      <c r="A81" t="s">
        <v>215</v>
      </c>
      <c r="B81">
        <v>36.471196999999997</v>
      </c>
      <c r="C81">
        <v>-84.704071999999996</v>
      </c>
      <c r="D81" s="1" t="s">
        <v>83</v>
      </c>
      <c r="E81" t="s">
        <v>282</v>
      </c>
      <c r="F81" t="s">
        <v>118</v>
      </c>
      <c r="G81">
        <v>0.11700000000000001</v>
      </c>
      <c r="H81">
        <v>185.38601208478099</v>
      </c>
      <c r="I81">
        <v>3.4879887078427001</v>
      </c>
      <c r="J81">
        <v>1</v>
      </c>
      <c r="L81">
        <v>26.3</v>
      </c>
      <c r="M81">
        <v>454</v>
      </c>
      <c r="N81">
        <v>13.508674514960401</v>
      </c>
      <c r="O81">
        <v>1409.43327337407</v>
      </c>
      <c r="P81" t="s">
        <v>71</v>
      </c>
      <c r="Q81" t="s">
        <v>51</v>
      </c>
      <c r="R81">
        <v>40</v>
      </c>
      <c r="S81">
        <v>25</v>
      </c>
      <c r="T81">
        <v>1658</v>
      </c>
      <c r="U81">
        <v>4.7</v>
      </c>
      <c r="V81" s="5">
        <v>36.229999999999997</v>
      </c>
      <c r="W81" s="5">
        <v>19.940000000000001</v>
      </c>
      <c r="X81" s="5">
        <v>43.83</v>
      </c>
      <c r="Y81" s="5">
        <v>2</v>
      </c>
      <c r="AA81" t="s">
        <v>312</v>
      </c>
      <c r="AB81">
        <v>30</v>
      </c>
      <c r="AC81">
        <v>51.5</v>
      </c>
      <c r="AD81">
        <v>421</v>
      </c>
      <c r="AE81" s="6">
        <v>0.63500000000000001</v>
      </c>
      <c r="AF81" s="6">
        <v>1.49</v>
      </c>
      <c r="AG81" s="6">
        <v>0.92</v>
      </c>
      <c r="AH81" s="6">
        <v>38</v>
      </c>
      <c r="AI81">
        <v>36.0167</v>
      </c>
      <c r="AJ81">
        <v>-78.9833</v>
      </c>
      <c r="AK81" t="s">
        <v>167</v>
      </c>
      <c r="AL81">
        <v>21.495829285980701</v>
      </c>
      <c r="AM81">
        <v>0.662753174489914</v>
      </c>
      <c r="AN81">
        <v>962.69998999999996</v>
      </c>
      <c r="AO81">
        <v>481.34999499999998</v>
      </c>
      <c r="AP81">
        <v>229.67699452674501</v>
      </c>
      <c r="AR81">
        <v>0.52002611004437604</v>
      </c>
      <c r="AS81">
        <v>0.21987105856908101</v>
      </c>
      <c r="AT81">
        <v>24.3330315246561</v>
      </c>
      <c r="AU81">
        <v>1.0817036556055999</v>
      </c>
      <c r="AV81">
        <v>429.95155385304599</v>
      </c>
      <c r="AX81">
        <v>0.80608931899641501</v>
      </c>
      <c r="AY81">
        <v>0.22025151418757399</v>
      </c>
      <c r="AZ81">
        <v>14.9893346148235</v>
      </c>
      <c r="BA81">
        <v>0.52577203288170404</v>
      </c>
      <c r="BB81">
        <v>1826.29997</v>
      </c>
      <c r="BC81">
        <v>913.14998500000002</v>
      </c>
      <c r="BD81">
        <v>167.498290269389</v>
      </c>
      <c r="BF81">
        <v>0.66421301812609801</v>
      </c>
      <c r="BG81">
        <v>0.231629100230379</v>
      </c>
      <c r="BH81">
        <v>17.492031937413099</v>
      </c>
      <c r="BI81">
        <v>0.82658197535293898</v>
      </c>
      <c r="BJ81">
        <v>320.65493813570299</v>
      </c>
      <c r="BL81">
        <v>0.93570916983733399</v>
      </c>
      <c r="BM81">
        <v>0.23181187307047699</v>
      </c>
    </row>
    <row r="82" spans="1:65" x14ac:dyDescent="0.25">
      <c r="A82" t="s">
        <v>215</v>
      </c>
      <c r="B82">
        <v>36.471196999999997</v>
      </c>
      <c r="C82">
        <v>-84.704071999999996</v>
      </c>
      <c r="D82" s="1" t="s">
        <v>206</v>
      </c>
      <c r="E82" t="s">
        <v>207</v>
      </c>
      <c r="F82" t="s">
        <v>49</v>
      </c>
      <c r="G82">
        <v>0.11700000000000001</v>
      </c>
      <c r="H82">
        <v>17.1394718266917</v>
      </c>
      <c r="I82">
        <v>-0.142437706438788</v>
      </c>
      <c r="J82">
        <v>2</v>
      </c>
      <c r="K82">
        <v>38</v>
      </c>
      <c r="L82">
        <v>26.3</v>
      </c>
      <c r="M82">
        <v>454</v>
      </c>
      <c r="N82">
        <v>13.508674514960401</v>
      </c>
      <c r="O82">
        <v>1409.43327337407</v>
      </c>
      <c r="P82" t="s">
        <v>71</v>
      </c>
      <c r="Q82" t="s">
        <v>51</v>
      </c>
      <c r="R82">
        <v>40</v>
      </c>
      <c r="S82">
        <v>25</v>
      </c>
      <c r="T82">
        <v>1658</v>
      </c>
      <c r="U82">
        <v>4.7</v>
      </c>
      <c r="V82" s="5">
        <v>36.229999999999997</v>
      </c>
      <c r="W82" s="5">
        <v>19.940000000000001</v>
      </c>
      <c r="X82" s="5">
        <v>43.83</v>
      </c>
      <c r="Y82" s="5">
        <v>2</v>
      </c>
      <c r="AA82" t="s">
        <v>312</v>
      </c>
      <c r="AB82">
        <v>30</v>
      </c>
      <c r="AC82">
        <v>43.6</v>
      </c>
      <c r="AD82">
        <v>261.5</v>
      </c>
      <c r="AE82" s="6">
        <v>0.65</v>
      </c>
      <c r="AG82" s="6">
        <v>2.5299999999999998</v>
      </c>
      <c r="AK82" t="s">
        <v>216</v>
      </c>
      <c r="AL82">
        <v>21.495829285980701</v>
      </c>
      <c r="AM82">
        <v>0.662753174489914</v>
      </c>
      <c r="AN82">
        <v>962.69998999999996</v>
      </c>
      <c r="AO82">
        <v>481.34999499999998</v>
      </c>
      <c r="AP82">
        <v>229.67699452674501</v>
      </c>
      <c r="AR82">
        <v>0.52002611004437604</v>
      </c>
      <c r="AS82">
        <v>0.21987105856908101</v>
      </c>
      <c r="AT82">
        <v>24.3330315246561</v>
      </c>
      <c r="AU82">
        <v>1.0817036556055999</v>
      </c>
      <c r="AV82">
        <v>429.95155385304599</v>
      </c>
      <c r="AX82">
        <v>0.80608931899641501</v>
      </c>
      <c r="AY82">
        <v>0.22025151418757399</v>
      </c>
      <c r="AZ82">
        <v>14.9893346148235</v>
      </c>
      <c r="BA82">
        <v>0.52577203288170404</v>
      </c>
      <c r="BB82">
        <v>1826.29997</v>
      </c>
      <c r="BC82">
        <v>913.14998500000002</v>
      </c>
      <c r="BD82">
        <v>167.498290269389</v>
      </c>
      <c r="BF82">
        <v>0.66421301812609801</v>
      </c>
      <c r="BG82">
        <v>0.231629100230379</v>
      </c>
      <c r="BH82">
        <v>17.492031937413099</v>
      </c>
      <c r="BI82">
        <v>0.82658197535293898</v>
      </c>
      <c r="BJ82">
        <v>320.65493813570299</v>
      </c>
      <c r="BL82">
        <v>0.93570916983733399</v>
      </c>
      <c r="BM82">
        <v>0.23181187307047699</v>
      </c>
    </row>
    <row r="83" spans="1:65" x14ac:dyDescent="0.25">
      <c r="A83" t="s">
        <v>217</v>
      </c>
      <c r="B83">
        <v>35.966000000000001</v>
      </c>
      <c r="C83">
        <v>-84.281865999999994</v>
      </c>
      <c r="D83" s="1" t="s">
        <v>218</v>
      </c>
      <c r="E83" t="s">
        <v>219</v>
      </c>
      <c r="F83" t="s">
        <v>49</v>
      </c>
      <c r="G83">
        <v>0.105</v>
      </c>
      <c r="H83">
        <v>27.608837626322401</v>
      </c>
      <c r="I83">
        <v>-0.14070748120109799</v>
      </c>
      <c r="J83">
        <v>3</v>
      </c>
      <c r="K83">
        <v>30</v>
      </c>
      <c r="L83">
        <v>25</v>
      </c>
      <c r="M83">
        <v>340</v>
      </c>
      <c r="N83">
        <v>14.6134165799521</v>
      </c>
      <c r="O83">
        <v>1497.0824463127501</v>
      </c>
      <c r="P83" t="s">
        <v>71</v>
      </c>
      <c r="Q83" t="s">
        <v>51</v>
      </c>
      <c r="R83">
        <v>100</v>
      </c>
      <c r="S83">
        <v>30</v>
      </c>
      <c r="T83">
        <v>718</v>
      </c>
      <c r="U83">
        <v>6.6</v>
      </c>
      <c r="V83" s="5">
        <v>30.44</v>
      </c>
      <c r="W83" s="5">
        <v>26.41</v>
      </c>
      <c r="X83" s="5">
        <v>43.15</v>
      </c>
      <c r="Y83" s="5">
        <v>2</v>
      </c>
      <c r="Z83" t="s">
        <v>79</v>
      </c>
      <c r="AA83" t="s">
        <v>80</v>
      </c>
      <c r="AB83">
        <v>30</v>
      </c>
      <c r="AC83">
        <v>35.700000000000003</v>
      </c>
      <c r="AD83">
        <v>625</v>
      </c>
      <c r="AE83" s="6">
        <v>0.51400000000000001</v>
      </c>
      <c r="AF83" s="6">
        <v>0.55000000000000004</v>
      </c>
      <c r="AG83" s="6">
        <v>1.97</v>
      </c>
      <c r="AH83" s="6">
        <v>27</v>
      </c>
      <c r="AI83">
        <v>36.0167</v>
      </c>
      <c r="AJ83">
        <v>-78.9833</v>
      </c>
      <c r="AK83" t="s">
        <v>167</v>
      </c>
      <c r="AL83">
        <v>23.283561831545999</v>
      </c>
      <c r="AM83">
        <v>0.96027736508273998</v>
      </c>
      <c r="AN83">
        <v>672</v>
      </c>
      <c r="AO83">
        <v>336</v>
      </c>
      <c r="AP83">
        <v>342.23653517399902</v>
      </c>
      <c r="AR83">
        <v>1.9608348407349301</v>
      </c>
      <c r="AS83">
        <v>0.13637074430620499</v>
      </c>
      <c r="AT83">
        <v>24.518585531410199</v>
      </c>
      <c r="AU83">
        <v>1.1706616199797699</v>
      </c>
      <c r="AV83">
        <v>442.63031894620502</v>
      </c>
      <c r="AX83">
        <v>2.0247642168892801</v>
      </c>
      <c r="AY83">
        <v>0.136561775630482</v>
      </c>
      <c r="AZ83">
        <v>16.792793862875701</v>
      </c>
      <c r="BA83">
        <v>0.72563078316922303</v>
      </c>
      <c r="BB83">
        <v>1725.99999999999</v>
      </c>
      <c r="BC83">
        <v>863</v>
      </c>
      <c r="BD83">
        <v>281.11400999587801</v>
      </c>
      <c r="BF83">
        <v>2.1666095301312498</v>
      </c>
      <c r="BG83">
        <v>0.152359817059353</v>
      </c>
      <c r="BH83">
        <v>17.789549884994301</v>
      </c>
      <c r="BI83">
        <v>0.86801704639994104</v>
      </c>
      <c r="BJ83">
        <v>351.49933974561299</v>
      </c>
      <c r="BL83">
        <v>2.24797246410562</v>
      </c>
      <c r="BM83">
        <v>0.15227371634429801</v>
      </c>
    </row>
    <row r="84" spans="1:65" x14ac:dyDescent="0.25">
      <c r="A84" t="s">
        <v>217</v>
      </c>
      <c r="B84">
        <v>35.966000000000001</v>
      </c>
      <c r="C84">
        <v>-84.281865999999994</v>
      </c>
      <c r="D84" s="1" t="s">
        <v>169</v>
      </c>
      <c r="E84" t="s">
        <v>170</v>
      </c>
      <c r="F84" t="s">
        <v>49</v>
      </c>
      <c r="G84">
        <v>7.6999999999999999E-2</v>
      </c>
      <c r="H84">
        <v>20.311091449682301</v>
      </c>
      <c r="I84">
        <v>0.72895314884090101</v>
      </c>
      <c r="J84">
        <v>1</v>
      </c>
      <c r="K84">
        <v>4</v>
      </c>
      <c r="L84">
        <v>25</v>
      </c>
      <c r="M84">
        <v>340</v>
      </c>
      <c r="N84">
        <v>14.6134165799521</v>
      </c>
      <c r="O84">
        <v>1497.0824463127501</v>
      </c>
      <c r="P84" t="s">
        <v>71</v>
      </c>
      <c r="Q84" t="s">
        <v>51</v>
      </c>
      <c r="R84">
        <v>100</v>
      </c>
      <c r="S84">
        <v>30</v>
      </c>
      <c r="T84">
        <v>718</v>
      </c>
      <c r="U84">
        <v>6.6</v>
      </c>
      <c r="V84" s="5">
        <v>30.44</v>
      </c>
      <c r="W84" s="5">
        <v>26.41</v>
      </c>
      <c r="X84" s="5">
        <v>43.15</v>
      </c>
      <c r="Y84" s="5">
        <v>2</v>
      </c>
      <c r="Z84" t="s">
        <v>79</v>
      </c>
      <c r="AA84" t="s">
        <v>80</v>
      </c>
      <c r="AB84">
        <v>30</v>
      </c>
      <c r="AC84">
        <v>39.700000000000003</v>
      </c>
      <c r="AD84">
        <v>593</v>
      </c>
      <c r="AE84" s="6">
        <v>0.4</v>
      </c>
      <c r="AF84" s="6">
        <v>2.61</v>
      </c>
      <c r="AG84" s="6">
        <v>3</v>
      </c>
      <c r="AH84" s="6">
        <v>60</v>
      </c>
      <c r="AI84" t="s">
        <v>179</v>
      </c>
      <c r="AJ84">
        <f>-77.86/78</f>
        <v>-0.99820512820512819</v>
      </c>
      <c r="AK84" t="s">
        <v>180</v>
      </c>
      <c r="AL84">
        <v>23.283561831545999</v>
      </c>
      <c r="AM84">
        <v>0.96027736508273998</v>
      </c>
      <c r="AN84">
        <v>672</v>
      </c>
      <c r="AO84">
        <v>336</v>
      </c>
      <c r="AP84">
        <v>342.23653517399902</v>
      </c>
      <c r="AR84">
        <v>1.9608348407349301</v>
      </c>
      <c r="AS84">
        <v>0.13637074430620499</v>
      </c>
      <c r="AT84">
        <v>24.518585531410199</v>
      </c>
      <c r="AU84">
        <v>1.1706616199797699</v>
      </c>
      <c r="AV84">
        <v>442.63031894620502</v>
      </c>
      <c r="AX84">
        <v>2.0247642168892801</v>
      </c>
      <c r="AY84">
        <v>0.136561775630482</v>
      </c>
      <c r="AZ84">
        <v>16.792793862875701</v>
      </c>
      <c r="BA84">
        <v>0.72563078316922303</v>
      </c>
      <c r="BB84">
        <v>1725.99999999999</v>
      </c>
      <c r="BC84">
        <v>863</v>
      </c>
      <c r="BD84">
        <v>281.11400999587801</v>
      </c>
      <c r="BF84">
        <v>2.1666095301312498</v>
      </c>
      <c r="BG84">
        <v>0.152359817059353</v>
      </c>
      <c r="BH84">
        <v>17.789549884994301</v>
      </c>
      <c r="BI84">
        <v>0.86801704639994104</v>
      </c>
      <c r="BJ84">
        <v>351.49933974561299</v>
      </c>
      <c r="BL84">
        <v>2.24797246410562</v>
      </c>
      <c r="BM84">
        <v>0.15227371634429801</v>
      </c>
    </row>
    <row r="85" spans="1:65" x14ac:dyDescent="0.25">
      <c r="A85" t="s">
        <v>220</v>
      </c>
      <c r="B85">
        <v>35.960410000000003</v>
      </c>
      <c r="C85">
        <v>-84.287932999999995</v>
      </c>
      <c r="D85" s="1" t="s">
        <v>218</v>
      </c>
      <c r="E85" t="s">
        <v>219</v>
      </c>
      <c r="F85" t="s">
        <v>49</v>
      </c>
      <c r="G85">
        <v>0.14799999999999999</v>
      </c>
      <c r="H85">
        <v>20.129971253138098</v>
      </c>
      <c r="I85">
        <v>1.8584533969664701</v>
      </c>
      <c r="J85">
        <v>2</v>
      </c>
      <c r="K85">
        <v>9</v>
      </c>
      <c r="L85">
        <v>33.9</v>
      </c>
      <c r="M85">
        <v>342</v>
      </c>
      <c r="N85">
        <v>14.6279816251502</v>
      </c>
      <c r="O85">
        <v>1488.6585462446001</v>
      </c>
      <c r="P85" t="s">
        <v>50</v>
      </c>
      <c r="Q85" t="s">
        <v>51</v>
      </c>
      <c r="R85">
        <v>47</v>
      </c>
      <c r="S85">
        <v>25</v>
      </c>
      <c r="T85">
        <v>2529</v>
      </c>
      <c r="U85">
        <v>4.5</v>
      </c>
      <c r="V85" s="5">
        <v>29.21</v>
      </c>
      <c r="W85" s="5">
        <v>27.31</v>
      </c>
      <c r="X85" s="5">
        <v>43.48</v>
      </c>
      <c r="Y85" s="5">
        <v>2</v>
      </c>
      <c r="Z85" t="s">
        <v>79</v>
      </c>
      <c r="AA85" t="s">
        <v>80</v>
      </c>
      <c r="AB85">
        <v>30</v>
      </c>
      <c r="AC85">
        <v>17.95</v>
      </c>
      <c r="AD85">
        <v>256</v>
      </c>
      <c r="AE85" s="6">
        <v>0.51400000000000001</v>
      </c>
      <c r="AF85" s="6">
        <v>0.55000000000000004</v>
      </c>
      <c r="AG85" s="6">
        <v>1.97</v>
      </c>
      <c r="AH85" s="6">
        <v>27</v>
      </c>
      <c r="AI85">
        <v>36.0167</v>
      </c>
      <c r="AJ85">
        <v>-78.9833</v>
      </c>
      <c r="AK85" t="s">
        <v>167</v>
      </c>
      <c r="AL85">
        <v>22.7102895460851</v>
      </c>
      <c r="AM85">
        <v>0.84737830831080097</v>
      </c>
      <c r="AN85">
        <v>593.98249999999996</v>
      </c>
      <c r="AO85">
        <v>296.99124999999998</v>
      </c>
      <c r="AP85">
        <v>246.690060723366</v>
      </c>
      <c r="AR85">
        <v>0.52615856513605797</v>
      </c>
      <c r="AS85">
        <v>0.194180030136367</v>
      </c>
      <c r="AT85">
        <v>24.687209801390999</v>
      </c>
      <c r="AU85">
        <v>1.11454463184339</v>
      </c>
      <c r="AV85">
        <v>489.37716178657399</v>
      </c>
      <c r="AX85">
        <v>0.83470229595718004</v>
      </c>
      <c r="AY85">
        <v>0.20087793178916799</v>
      </c>
      <c r="AZ85">
        <v>16.037489415842099</v>
      </c>
      <c r="BA85">
        <v>0.64645785495416996</v>
      </c>
      <c r="BB85">
        <v>1706.0823799999901</v>
      </c>
      <c r="BC85">
        <v>853.04118999999901</v>
      </c>
      <c r="BD85">
        <v>187.53283242171901</v>
      </c>
      <c r="BF85">
        <v>0.56755613080249701</v>
      </c>
      <c r="BG85">
        <v>0.21069531235258601</v>
      </c>
      <c r="BH85">
        <v>17.935852723297899</v>
      </c>
      <c r="BI85">
        <v>0.84592879411698496</v>
      </c>
      <c r="BJ85">
        <v>379.78873466305902</v>
      </c>
      <c r="BL85">
        <v>0.81531238654401095</v>
      </c>
      <c r="BM85">
        <v>0.218673382570505</v>
      </c>
    </row>
    <row r="86" spans="1:65" x14ac:dyDescent="0.25">
      <c r="A86" t="s">
        <v>220</v>
      </c>
      <c r="B86">
        <v>35.960410000000003</v>
      </c>
      <c r="C86">
        <v>-84.287932999999995</v>
      </c>
      <c r="D86" s="1" t="s">
        <v>283</v>
      </c>
      <c r="E86" t="s">
        <v>284</v>
      </c>
      <c r="F86" t="s">
        <v>49</v>
      </c>
      <c r="G86">
        <v>0.14399999999999999</v>
      </c>
      <c r="H86">
        <v>30.488245636529498</v>
      </c>
      <c r="I86">
        <v>1.0914126501260799</v>
      </c>
      <c r="J86">
        <v>1</v>
      </c>
      <c r="K86">
        <v>14</v>
      </c>
      <c r="L86">
        <v>33.9</v>
      </c>
      <c r="M86">
        <v>342</v>
      </c>
      <c r="N86">
        <v>14.6279816251502</v>
      </c>
      <c r="O86">
        <v>1488.6585462446001</v>
      </c>
      <c r="P86" t="s">
        <v>50</v>
      </c>
      <c r="Q86" t="s">
        <v>51</v>
      </c>
      <c r="R86">
        <v>47</v>
      </c>
      <c r="S86">
        <v>25</v>
      </c>
      <c r="T86">
        <v>2529</v>
      </c>
      <c r="U86">
        <v>4.5</v>
      </c>
      <c r="V86" s="5">
        <v>29.21</v>
      </c>
      <c r="W86" s="5">
        <v>27.31</v>
      </c>
      <c r="X86" s="5">
        <v>43.48</v>
      </c>
      <c r="Y86" s="5">
        <v>2</v>
      </c>
      <c r="Z86" t="s">
        <v>79</v>
      </c>
      <c r="AA86" t="s">
        <v>80</v>
      </c>
      <c r="AB86">
        <v>30</v>
      </c>
      <c r="AC86">
        <v>15.1</v>
      </c>
      <c r="AD86">
        <v>137</v>
      </c>
      <c r="AE86" s="6">
        <v>0.6</v>
      </c>
      <c r="AF86" s="6">
        <v>0.15</v>
      </c>
      <c r="AG86" s="6">
        <v>5.84</v>
      </c>
      <c r="AH86" s="6">
        <v>10</v>
      </c>
      <c r="AI86">
        <v>36.0167</v>
      </c>
      <c r="AJ86">
        <v>-78.9833</v>
      </c>
      <c r="AK86" t="s">
        <v>167</v>
      </c>
      <c r="AL86">
        <v>22.7102895460851</v>
      </c>
      <c r="AM86">
        <v>0.84737830831080097</v>
      </c>
      <c r="AN86">
        <v>593.98249999999996</v>
      </c>
      <c r="AO86">
        <v>296.99124999999998</v>
      </c>
      <c r="AP86">
        <v>246.690060723366</v>
      </c>
      <c r="AR86">
        <v>0.52615856513605797</v>
      </c>
      <c r="AS86">
        <v>0.194180030136367</v>
      </c>
      <c r="AT86">
        <v>24.687209801390999</v>
      </c>
      <c r="AU86">
        <v>1.11454463184339</v>
      </c>
      <c r="AV86">
        <v>489.37716178657399</v>
      </c>
      <c r="AX86">
        <v>0.83470229595718004</v>
      </c>
      <c r="AY86">
        <v>0.20087793178916799</v>
      </c>
      <c r="AZ86">
        <v>16.037489415842099</v>
      </c>
      <c r="BA86">
        <v>0.64645785495416996</v>
      </c>
      <c r="BB86">
        <v>1706.0823799999901</v>
      </c>
      <c r="BC86">
        <v>853.04118999999901</v>
      </c>
      <c r="BD86">
        <v>187.53283242171901</v>
      </c>
      <c r="BF86">
        <v>0.56755613080249701</v>
      </c>
      <c r="BG86">
        <v>0.21069531235258601</v>
      </c>
      <c r="BH86">
        <v>17.935852723297899</v>
      </c>
      <c r="BI86">
        <v>0.84592879411698496</v>
      </c>
      <c r="BJ86">
        <v>379.78873466305902</v>
      </c>
      <c r="BL86">
        <v>0.81531238654401095</v>
      </c>
      <c r="BM86">
        <v>0.218673382570505</v>
      </c>
    </row>
    <row r="87" spans="1:65" x14ac:dyDescent="0.25">
      <c r="A87" t="s">
        <v>220</v>
      </c>
      <c r="B87">
        <v>35.960410000000003</v>
      </c>
      <c r="C87">
        <v>-84.287932999999995</v>
      </c>
      <c r="D87" s="1" t="s">
        <v>69</v>
      </c>
      <c r="E87" t="s">
        <v>70</v>
      </c>
      <c r="F87" t="s">
        <v>49</v>
      </c>
      <c r="G87">
        <v>0.23499999999999999</v>
      </c>
      <c r="H87">
        <v>0.71894486222962495</v>
      </c>
      <c r="I87">
        <v>-2.7019998859529202</v>
      </c>
      <c r="J87">
        <v>1</v>
      </c>
      <c r="K87">
        <v>1</v>
      </c>
      <c r="L87">
        <v>33.9</v>
      </c>
      <c r="M87">
        <v>342</v>
      </c>
      <c r="N87">
        <v>14.6279816251502</v>
      </c>
      <c r="O87">
        <v>1488.6585462446001</v>
      </c>
      <c r="P87" t="s">
        <v>50</v>
      </c>
      <c r="Q87" t="s">
        <v>51</v>
      </c>
      <c r="R87">
        <v>47</v>
      </c>
      <c r="S87">
        <v>25</v>
      </c>
      <c r="T87">
        <v>2529</v>
      </c>
      <c r="U87">
        <v>4.5</v>
      </c>
      <c r="V87" s="5">
        <v>29.21</v>
      </c>
      <c r="W87" s="5">
        <v>27.31</v>
      </c>
      <c r="X87" s="5">
        <v>43.48</v>
      </c>
      <c r="Y87" s="5">
        <v>2</v>
      </c>
      <c r="Z87" t="s">
        <v>79</v>
      </c>
      <c r="AA87" t="s">
        <v>80</v>
      </c>
      <c r="AB87">
        <v>30</v>
      </c>
      <c r="AC87">
        <v>9</v>
      </c>
      <c r="AD87">
        <v>57</v>
      </c>
      <c r="AE87" s="6">
        <v>0.58499999999999996</v>
      </c>
      <c r="AF87" s="6">
        <v>1.83</v>
      </c>
      <c r="AG87" s="6">
        <v>3.42</v>
      </c>
      <c r="AK87" t="s">
        <v>221</v>
      </c>
      <c r="AL87">
        <v>22.7102895460851</v>
      </c>
      <c r="AM87">
        <v>0.84737830831080097</v>
      </c>
      <c r="AN87">
        <v>593.98249999999996</v>
      </c>
      <c r="AO87">
        <v>296.99124999999998</v>
      </c>
      <c r="AP87">
        <v>246.690060723366</v>
      </c>
      <c r="AR87">
        <v>0.52615856513605797</v>
      </c>
      <c r="AS87">
        <v>0.194180030136367</v>
      </c>
      <c r="AT87">
        <v>24.687209801390999</v>
      </c>
      <c r="AU87">
        <v>1.11454463184339</v>
      </c>
      <c r="AV87">
        <v>489.37716178657399</v>
      </c>
      <c r="AX87">
        <v>0.83470229595718004</v>
      </c>
      <c r="AY87">
        <v>0.20087793178916799</v>
      </c>
      <c r="AZ87">
        <v>16.037489415842099</v>
      </c>
      <c r="BA87">
        <v>0.64645785495416996</v>
      </c>
      <c r="BB87">
        <v>1706.0823799999901</v>
      </c>
      <c r="BC87">
        <v>853.04118999999901</v>
      </c>
      <c r="BD87">
        <v>187.53283242171901</v>
      </c>
      <c r="BF87">
        <v>0.56755613080249701</v>
      </c>
      <c r="BG87">
        <v>0.21069531235258601</v>
      </c>
      <c r="BH87">
        <v>17.935852723297899</v>
      </c>
      <c r="BI87">
        <v>0.84592879411698496</v>
      </c>
      <c r="BJ87">
        <v>379.78873466305902</v>
      </c>
      <c r="BL87">
        <v>0.81531238654401095</v>
      </c>
      <c r="BM87">
        <v>0.218673382570505</v>
      </c>
    </row>
    <row r="88" spans="1:65" x14ac:dyDescent="0.25">
      <c r="A88" t="s">
        <v>220</v>
      </c>
      <c r="B88">
        <v>35.960410000000003</v>
      </c>
      <c r="C88">
        <v>-84.287932999999995</v>
      </c>
      <c r="D88" s="1" t="s">
        <v>169</v>
      </c>
      <c r="E88" t="s">
        <v>170</v>
      </c>
      <c r="F88" t="s">
        <v>49</v>
      </c>
      <c r="G88">
        <v>0.151</v>
      </c>
      <c r="H88">
        <v>20.631514373134198</v>
      </c>
      <c r="I88">
        <v>1.11362374977099</v>
      </c>
      <c r="J88">
        <v>1</v>
      </c>
      <c r="K88">
        <v>5</v>
      </c>
      <c r="L88">
        <v>33.9</v>
      </c>
      <c r="M88">
        <v>342</v>
      </c>
      <c r="N88">
        <v>14.6279816251502</v>
      </c>
      <c r="O88">
        <v>1488.6585462446001</v>
      </c>
      <c r="P88" t="s">
        <v>50</v>
      </c>
      <c r="Q88" t="s">
        <v>51</v>
      </c>
      <c r="R88">
        <v>47</v>
      </c>
      <c r="S88">
        <v>25</v>
      </c>
      <c r="T88">
        <v>2529</v>
      </c>
      <c r="U88">
        <v>4.5</v>
      </c>
      <c r="V88" s="5">
        <v>29.21</v>
      </c>
      <c r="W88" s="5">
        <v>27.31</v>
      </c>
      <c r="X88" s="5">
        <v>43.48</v>
      </c>
      <c r="Y88" s="5">
        <v>2</v>
      </c>
      <c r="Z88" t="s">
        <v>79</v>
      </c>
      <c r="AA88" t="s">
        <v>80</v>
      </c>
      <c r="AB88">
        <v>30</v>
      </c>
      <c r="AC88">
        <v>16.899999999999999</v>
      </c>
      <c r="AD88">
        <v>170</v>
      </c>
      <c r="AE88" s="6">
        <v>0.4</v>
      </c>
      <c r="AF88" s="6">
        <v>2.61</v>
      </c>
      <c r="AG88" s="6">
        <v>3</v>
      </c>
      <c r="AH88" s="6">
        <v>60</v>
      </c>
      <c r="AI88" t="s">
        <v>179</v>
      </c>
      <c r="AJ88">
        <f>-77.86/78</f>
        <v>-0.99820512820512819</v>
      </c>
      <c r="AK88" t="s">
        <v>180</v>
      </c>
      <c r="AL88">
        <v>22.7102895460851</v>
      </c>
      <c r="AM88">
        <v>0.84737830831080097</v>
      </c>
      <c r="AN88">
        <v>593.98249999999996</v>
      </c>
      <c r="AO88">
        <v>296.99124999999998</v>
      </c>
      <c r="AP88">
        <v>246.690060723366</v>
      </c>
      <c r="AR88">
        <v>0.52615856513605797</v>
      </c>
      <c r="AS88">
        <v>0.194180030136367</v>
      </c>
      <c r="AT88">
        <v>24.687209801390999</v>
      </c>
      <c r="AU88">
        <v>1.11454463184339</v>
      </c>
      <c r="AV88">
        <v>489.37716178657399</v>
      </c>
      <c r="AX88">
        <v>0.83470229595718004</v>
      </c>
      <c r="AY88">
        <v>0.20087793178916799</v>
      </c>
      <c r="AZ88">
        <v>16.037489415842099</v>
      </c>
      <c r="BA88">
        <v>0.64645785495416996</v>
      </c>
      <c r="BB88">
        <v>1706.0823799999901</v>
      </c>
      <c r="BC88">
        <v>853.04118999999901</v>
      </c>
      <c r="BD88">
        <v>187.53283242171901</v>
      </c>
      <c r="BF88">
        <v>0.56755613080249701</v>
      </c>
      <c r="BG88">
        <v>0.21069531235258601</v>
      </c>
      <c r="BH88">
        <v>17.935852723297899</v>
      </c>
      <c r="BI88">
        <v>0.84592879411698496</v>
      </c>
      <c r="BJ88">
        <v>379.78873466305902</v>
      </c>
      <c r="BL88">
        <v>0.81531238654401095</v>
      </c>
      <c r="BM88">
        <v>0.218673382570505</v>
      </c>
    </row>
    <row r="89" spans="1:65" x14ac:dyDescent="0.25">
      <c r="A89" t="s">
        <v>220</v>
      </c>
      <c r="B89">
        <v>35.960410000000003</v>
      </c>
      <c r="C89">
        <v>-84.287932999999995</v>
      </c>
      <c r="D89" s="1" t="s">
        <v>188</v>
      </c>
      <c r="E89" t="s">
        <v>189</v>
      </c>
      <c r="F89" t="s">
        <v>49</v>
      </c>
      <c r="G89">
        <v>0.16700000000000001</v>
      </c>
      <c r="H89">
        <v>61.2923876584493</v>
      </c>
      <c r="I89">
        <v>-5.2829620247684703</v>
      </c>
      <c r="J89">
        <v>4</v>
      </c>
      <c r="K89">
        <v>52</v>
      </c>
      <c r="L89">
        <v>33.9</v>
      </c>
      <c r="M89">
        <v>342</v>
      </c>
      <c r="N89">
        <v>14.6279816251502</v>
      </c>
      <c r="O89">
        <v>1488.6585462446001</v>
      </c>
      <c r="P89" t="s">
        <v>50</v>
      </c>
      <c r="Q89" t="s">
        <v>51</v>
      </c>
      <c r="R89">
        <v>47</v>
      </c>
      <c r="S89">
        <v>25</v>
      </c>
      <c r="T89">
        <v>2529</v>
      </c>
      <c r="U89">
        <v>4.5</v>
      </c>
      <c r="V89" s="5">
        <v>29.21</v>
      </c>
      <c r="W89" s="5">
        <v>27.31</v>
      </c>
      <c r="X89" s="5">
        <v>43.48</v>
      </c>
      <c r="Y89" s="5">
        <v>2</v>
      </c>
      <c r="Z89" t="s">
        <v>79</v>
      </c>
      <c r="AA89" t="s">
        <v>80</v>
      </c>
      <c r="AB89">
        <v>30</v>
      </c>
      <c r="AC89">
        <v>32.75</v>
      </c>
      <c r="AD89">
        <v>597</v>
      </c>
      <c r="AE89" s="6">
        <v>0.47</v>
      </c>
      <c r="AF89" s="6">
        <v>0.34</v>
      </c>
      <c r="AG89" s="6">
        <v>3.5</v>
      </c>
      <c r="AH89" s="6">
        <v>50</v>
      </c>
      <c r="AI89">
        <v>35.966700000000003</v>
      </c>
      <c r="AJ89">
        <v>-79.133300000000006</v>
      </c>
      <c r="AK89" t="s">
        <v>222</v>
      </c>
      <c r="AL89">
        <v>22.7102895460851</v>
      </c>
      <c r="AM89">
        <v>0.84737830831080097</v>
      </c>
      <c r="AN89">
        <v>593.98249999999996</v>
      </c>
      <c r="AO89">
        <v>296.99124999999998</v>
      </c>
      <c r="AP89">
        <v>246.690060723366</v>
      </c>
      <c r="AR89">
        <v>0.52615856513605797</v>
      </c>
      <c r="AS89">
        <v>0.194180030136367</v>
      </c>
      <c r="AT89">
        <v>24.687209801390999</v>
      </c>
      <c r="AU89">
        <v>1.11454463184339</v>
      </c>
      <c r="AV89">
        <v>489.37716178657399</v>
      </c>
      <c r="AX89">
        <v>0.83470229595718004</v>
      </c>
      <c r="AY89">
        <v>0.20087793178916799</v>
      </c>
      <c r="AZ89">
        <v>16.037489415842099</v>
      </c>
      <c r="BA89">
        <v>0.64645785495416996</v>
      </c>
      <c r="BB89">
        <v>1706.0823799999901</v>
      </c>
      <c r="BC89">
        <v>853.04118999999901</v>
      </c>
      <c r="BD89">
        <v>187.53283242171901</v>
      </c>
      <c r="BF89">
        <v>0.56755613080249701</v>
      </c>
      <c r="BG89">
        <v>0.21069531235258601</v>
      </c>
      <c r="BH89">
        <v>17.935852723297899</v>
      </c>
      <c r="BI89">
        <v>0.84592879411698496</v>
      </c>
      <c r="BJ89">
        <v>379.78873466305902</v>
      </c>
      <c r="BL89">
        <v>0.81531238654401095</v>
      </c>
      <c r="BM89">
        <v>0.218673382570505</v>
      </c>
    </row>
    <row r="90" spans="1:65" x14ac:dyDescent="0.25">
      <c r="A90" t="s">
        <v>223</v>
      </c>
      <c r="B90">
        <v>35.687635</v>
      </c>
      <c r="C90">
        <v>-83.501202000000006</v>
      </c>
      <c r="D90" s="1" t="s">
        <v>218</v>
      </c>
      <c r="E90" t="s">
        <v>219</v>
      </c>
      <c r="F90" t="s">
        <v>49</v>
      </c>
      <c r="G90">
        <v>0.24099999999999999</v>
      </c>
      <c r="H90">
        <v>9.5177134380275401</v>
      </c>
      <c r="I90">
        <v>-4.36064146183028</v>
      </c>
      <c r="J90">
        <v>3</v>
      </c>
      <c r="K90">
        <v>31</v>
      </c>
      <c r="L90">
        <v>28.8</v>
      </c>
      <c r="M90">
        <v>850</v>
      </c>
      <c r="N90">
        <v>12.7551433177857</v>
      </c>
      <c r="O90">
        <v>1285.12741798408</v>
      </c>
      <c r="P90" t="s">
        <v>71</v>
      </c>
      <c r="Q90" t="s">
        <v>51</v>
      </c>
      <c r="R90">
        <v>70</v>
      </c>
      <c r="S90">
        <v>30</v>
      </c>
      <c r="T90">
        <v>841</v>
      </c>
      <c r="U90">
        <v>7</v>
      </c>
      <c r="V90" s="5">
        <v>35.17</v>
      </c>
      <c r="W90" s="5">
        <v>23.13</v>
      </c>
      <c r="X90" s="5">
        <v>41.7</v>
      </c>
      <c r="Y90" s="5">
        <v>2</v>
      </c>
      <c r="AA90" t="s">
        <v>312</v>
      </c>
      <c r="AB90">
        <v>30</v>
      </c>
      <c r="AC90">
        <v>35.5</v>
      </c>
      <c r="AD90">
        <v>869</v>
      </c>
      <c r="AE90" s="6">
        <v>0.51400000000000001</v>
      </c>
      <c r="AF90" s="6">
        <v>0.55000000000000004</v>
      </c>
      <c r="AG90" s="6">
        <v>1.97</v>
      </c>
      <c r="AH90" s="6">
        <v>27</v>
      </c>
      <c r="AI90">
        <v>36.0167</v>
      </c>
      <c r="AJ90">
        <v>-78.9833</v>
      </c>
      <c r="AK90" t="s">
        <v>167</v>
      </c>
      <c r="AL90">
        <v>21.954134245189898</v>
      </c>
      <c r="AM90">
        <v>0.70117340435570197</v>
      </c>
      <c r="AN90">
        <v>989.6</v>
      </c>
      <c r="AO90">
        <v>494.8</v>
      </c>
      <c r="AP90">
        <v>165.92095045886001</v>
      </c>
      <c r="AR90">
        <v>0.204552877012808</v>
      </c>
      <c r="AS90">
        <v>0.230597400497627</v>
      </c>
      <c r="AT90">
        <v>24.2695247136249</v>
      </c>
      <c r="AU90">
        <v>1.01297931219273</v>
      </c>
      <c r="AV90">
        <v>317.87469707960298</v>
      </c>
      <c r="AX90">
        <v>0.18824840391459</v>
      </c>
      <c r="AY90">
        <v>0.23167015950399</v>
      </c>
      <c r="AZ90">
        <v>16.404615007867601</v>
      </c>
      <c r="BA90">
        <v>0.58281116323387905</v>
      </c>
      <c r="BB90">
        <v>1404.7</v>
      </c>
      <c r="BC90">
        <v>702.349999999999</v>
      </c>
      <c r="BD90">
        <v>137.205307178217</v>
      </c>
      <c r="BF90">
        <v>0.33837527104479997</v>
      </c>
      <c r="BG90">
        <v>0.237948748079784</v>
      </c>
      <c r="BH90">
        <v>20.160065011233101</v>
      </c>
      <c r="BI90">
        <v>0.87862675561561998</v>
      </c>
      <c r="BJ90">
        <v>261.85659182898303</v>
      </c>
      <c r="BL90">
        <v>0.366052901746724</v>
      </c>
      <c r="BM90">
        <v>0.23527745768486399</v>
      </c>
    </row>
    <row r="91" spans="1:65" x14ac:dyDescent="0.25">
      <c r="A91" t="s">
        <v>223</v>
      </c>
      <c r="B91">
        <v>35.687635</v>
      </c>
      <c r="C91">
        <v>-83.501202000000006</v>
      </c>
      <c r="D91" s="1" t="s">
        <v>169</v>
      </c>
      <c r="E91" t="s">
        <v>170</v>
      </c>
      <c r="F91" t="s">
        <v>49</v>
      </c>
      <c r="G91">
        <v>0.20899999999999999</v>
      </c>
      <c r="H91">
        <v>16.1272417134916</v>
      </c>
      <c r="I91">
        <v>-10.077188473212299</v>
      </c>
      <c r="J91">
        <v>3</v>
      </c>
      <c r="K91">
        <v>49</v>
      </c>
      <c r="L91">
        <v>28.8</v>
      </c>
      <c r="M91">
        <v>850</v>
      </c>
      <c r="N91">
        <v>12.7551433177857</v>
      </c>
      <c r="O91">
        <v>1285.12741798408</v>
      </c>
      <c r="P91" t="s">
        <v>71</v>
      </c>
      <c r="Q91" t="s">
        <v>51</v>
      </c>
      <c r="R91">
        <v>70</v>
      </c>
      <c r="S91">
        <v>30</v>
      </c>
      <c r="T91">
        <v>841</v>
      </c>
      <c r="U91">
        <v>7</v>
      </c>
      <c r="V91" s="5">
        <v>35.17</v>
      </c>
      <c r="W91" s="5">
        <v>23.13</v>
      </c>
      <c r="X91" s="5">
        <v>41.7</v>
      </c>
      <c r="Y91" s="5">
        <v>2</v>
      </c>
      <c r="AA91" t="s">
        <v>312</v>
      </c>
      <c r="AB91">
        <v>30</v>
      </c>
      <c r="AC91">
        <v>57</v>
      </c>
      <c r="AD91">
        <v>1316</v>
      </c>
      <c r="AE91" s="6">
        <v>0.4</v>
      </c>
      <c r="AF91" s="6">
        <v>2.61</v>
      </c>
      <c r="AG91" s="6">
        <v>3</v>
      </c>
      <c r="AH91" s="6">
        <v>60</v>
      </c>
      <c r="AI91" t="s">
        <v>179</v>
      </c>
      <c r="AJ91">
        <f>-77.86/78</f>
        <v>-0.99820512820512819</v>
      </c>
      <c r="AK91" t="s">
        <v>180</v>
      </c>
      <c r="AL91">
        <v>21.954134245189898</v>
      </c>
      <c r="AM91">
        <v>0.70117340435570197</v>
      </c>
      <c r="AN91">
        <v>989.6</v>
      </c>
      <c r="AO91">
        <v>494.8</v>
      </c>
      <c r="AP91">
        <v>165.92095045886001</v>
      </c>
      <c r="AR91">
        <v>0.204552877012808</v>
      </c>
      <c r="AS91">
        <v>0.230597400497627</v>
      </c>
      <c r="AT91">
        <v>24.2695247136249</v>
      </c>
      <c r="AU91">
        <v>1.01297931219273</v>
      </c>
      <c r="AV91">
        <v>317.87469707960298</v>
      </c>
      <c r="AX91">
        <v>0.18824840391459</v>
      </c>
      <c r="AY91">
        <v>0.23167015950399</v>
      </c>
      <c r="AZ91">
        <v>16.404615007867601</v>
      </c>
      <c r="BA91">
        <v>0.58281116323387905</v>
      </c>
      <c r="BB91">
        <v>1404.7</v>
      </c>
      <c r="BC91">
        <v>702.349999999999</v>
      </c>
      <c r="BD91">
        <v>137.205307178217</v>
      </c>
      <c r="BF91">
        <v>0.33837527104479997</v>
      </c>
      <c r="BG91">
        <v>0.237948748079784</v>
      </c>
      <c r="BH91">
        <v>20.160065011233101</v>
      </c>
      <c r="BI91">
        <v>0.87862675561561998</v>
      </c>
      <c r="BJ91">
        <v>261.85659182898303</v>
      </c>
      <c r="BL91">
        <v>0.366052901746724</v>
      </c>
      <c r="BM91">
        <v>0.23527745768486399</v>
      </c>
    </row>
    <row r="92" spans="1:65" x14ac:dyDescent="0.25">
      <c r="A92" t="s">
        <v>223</v>
      </c>
      <c r="B92">
        <v>35.687635</v>
      </c>
      <c r="C92">
        <v>-83.501202000000006</v>
      </c>
      <c r="D92" s="1" t="s">
        <v>224</v>
      </c>
      <c r="E92" t="s">
        <v>225</v>
      </c>
      <c r="F92" t="s">
        <v>49</v>
      </c>
      <c r="G92">
        <v>0.21099999999999999</v>
      </c>
      <c r="H92">
        <v>1.5751655379682401</v>
      </c>
      <c r="I92">
        <v>-1.04083065107532</v>
      </c>
      <c r="J92">
        <v>2</v>
      </c>
      <c r="K92">
        <v>7</v>
      </c>
      <c r="L92">
        <v>28.8</v>
      </c>
      <c r="M92">
        <v>850</v>
      </c>
      <c r="N92">
        <v>12.7551433177857</v>
      </c>
      <c r="O92">
        <v>1285.12741798408</v>
      </c>
      <c r="P92" t="s">
        <v>71</v>
      </c>
      <c r="Q92" t="s">
        <v>51</v>
      </c>
      <c r="R92">
        <v>70</v>
      </c>
      <c r="S92">
        <v>30</v>
      </c>
      <c r="T92">
        <v>841</v>
      </c>
      <c r="U92">
        <v>7</v>
      </c>
      <c r="V92" s="5">
        <v>35.17</v>
      </c>
      <c r="W92" s="5">
        <v>23.13</v>
      </c>
      <c r="X92" s="5">
        <v>41.7</v>
      </c>
      <c r="Y92" s="5">
        <v>2</v>
      </c>
      <c r="AA92" t="s">
        <v>312</v>
      </c>
      <c r="AB92">
        <v>30</v>
      </c>
      <c r="AC92">
        <v>27.8</v>
      </c>
      <c r="AD92">
        <v>245</v>
      </c>
      <c r="AE92" s="6">
        <v>0.47</v>
      </c>
      <c r="AF92" s="6">
        <v>0.55000000000000004</v>
      </c>
      <c r="AG92" s="6">
        <v>4.2699999999999996</v>
      </c>
      <c r="AH92" s="6">
        <v>22</v>
      </c>
      <c r="AI92">
        <v>35.765000000000001</v>
      </c>
      <c r="AJ92">
        <v>-78.681700000000006</v>
      </c>
      <c r="AK92" t="s">
        <v>226</v>
      </c>
      <c r="AL92">
        <v>21.954134245189898</v>
      </c>
      <c r="AM92">
        <v>0.70117340435570197</v>
      </c>
      <c r="AN92">
        <v>989.6</v>
      </c>
      <c r="AO92">
        <v>494.8</v>
      </c>
      <c r="AP92">
        <v>165.92095045886001</v>
      </c>
      <c r="AR92">
        <v>0.204552877012808</v>
      </c>
      <c r="AS92">
        <v>0.230597400497627</v>
      </c>
      <c r="AT92">
        <v>24.2695247136249</v>
      </c>
      <c r="AU92">
        <v>1.01297931219273</v>
      </c>
      <c r="AV92">
        <v>317.87469707960298</v>
      </c>
      <c r="AX92">
        <v>0.18824840391459</v>
      </c>
      <c r="AY92">
        <v>0.23167015950399</v>
      </c>
      <c r="AZ92">
        <v>16.404615007867601</v>
      </c>
      <c r="BA92">
        <v>0.58281116323387905</v>
      </c>
      <c r="BB92">
        <v>1404.7</v>
      </c>
      <c r="BC92">
        <v>702.349999999999</v>
      </c>
      <c r="BD92">
        <v>137.205307178217</v>
      </c>
      <c r="BF92">
        <v>0.33837527104479997</v>
      </c>
      <c r="BG92">
        <v>0.237948748079784</v>
      </c>
      <c r="BH92">
        <v>20.160065011233101</v>
      </c>
      <c r="BI92">
        <v>0.87862675561561998</v>
      </c>
      <c r="BJ92">
        <v>261.85659182898303</v>
      </c>
      <c r="BL92">
        <v>0.366052901746724</v>
      </c>
      <c r="BM92">
        <v>0.23527745768486399</v>
      </c>
    </row>
    <row r="93" spans="1:65" x14ac:dyDescent="0.25">
      <c r="A93" t="s">
        <v>227</v>
      </c>
      <c r="B93">
        <v>45.559722222222199</v>
      </c>
      <c r="C93">
        <v>-84.713333333333296</v>
      </c>
      <c r="D93" s="1" t="s">
        <v>228</v>
      </c>
      <c r="E93" t="s">
        <v>229</v>
      </c>
      <c r="F93" t="s">
        <v>49</v>
      </c>
      <c r="G93">
        <v>6.9000000000000006E-2</v>
      </c>
      <c r="H93">
        <v>25.352576713982899</v>
      </c>
      <c r="I93">
        <v>-13.091965085844301</v>
      </c>
      <c r="J93">
        <v>12</v>
      </c>
      <c r="K93">
        <v>52.27</v>
      </c>
      <c r="L93">
        <v>25</v>
      </c>
      <c r="M93">
        <v>236</v>
      </c>
      <c r="N93">
        <v>6.0973631019456702</v>
      </c>
      <c r="O93">
        <v>821.46623122794199</v>
      </c>
      <c r="P93" t="s">
        <v>71</v>
      </c>
      <c r="Q93" t="s">
        <v>51</v>
      </c>
      <c r="R93">
        <v>100</v>
      </c>
      <c r="S93">
        <v>29</v>
      </c>
      <c r="T93">
        <v>750</v>
      </c>
      <c r="U93">
        <v>3.5</v>
      </c>
      <c r="V93" s="5">
        <v>92</v>
      </c>
      <c r="W93" s="5">
        <v>1</v>
      </c>
      <c r="X93" s="5">
        <v>7</v>
      </c>
      <c r="Y93" s="5">
        <v>1</v>
      </c>
      <c r="Z93" t="s">
        <v>52</v>
      </c>
      <c r="AA93" t="s">
        <v>53</v>
      </c>
      <c r="AB93">
        <v>30</v>
      </c>
      <c r="AC93">
        <v>23.75</v>
      </c>
      <c r="AD93">
        <v>286.08499999999998</v>
      </c>
      <c r="AE93" s="6">
        <v>0.41199999999999998</v>
      </c>
      <c r="AG93" s="6">
        <v>1.5</v>
      </c>
      <c r="AK93" t="s">
        <v>230</v>
      </c>
      <c r="AL93">
        <v>17.774195001509199</v>
      </c>
      <c r="AM93">
        <v>0.68171089068455404</v>
      </c>
      <c r="AN93">
        <v>2305.1500780000001</v>
      </c>
      <c r="AO93">
        <v>329.30715400000003</v>
      </c>
      <c r="AP93">
        <v>363.738574341733</v>
      </c>
      <c r="AQ93">
        <v>304.91998437487302</v>
      </c>
      <c r="AR93">
        <v>3.3785999492331702</v>
      </c>
      <c r="AS93">
        <v>9.2955326432720198E-2</v>
      </c>
      <c r="AT93">
        <v>19.563605404887699</v>
      </c>
      <c r="AU93">
        <v>0.90211789926052599</v>
      </c>
      <c r="AV93">
        <v>448.41277545484098</v>
      </c>
      <c r="AW93">
        <v>326.77928041003901</v>
      </c>
      <c r="AX93">
        <v>3.46094412828077</v>
      </c>
      <c r="AY93">
        <v>9.2158533029223999E-2</v>
      </c>
      <c r="AZ93">
        <v>7.8797187727437903</v>
      </c>
      <c r="BA93">
        <v>0.417289489875317</v>
      </c>
      <c r="BB93">
        <v>4018.0167379999998</v>
      </c>
      <c r="BC93">
        <v>502.25209224999998</v>
      </c>
      <c r="BD93">
        <v>272.63109655991099</v>
      </c>
      <c r="BE93">
        <v>226.86991181283099</v>
      </c>
      <c r="BF93">
        <v>3.6576743972252301</v>
      </c>
      <c r="BG93">
        <v>0.10560297504690901</v>
      </c>
      <c r="BH93">
        <v>9.0599652318560295</v>
      </c>
      <c r="BI93">
        <v>0.53780603139545902</v>
      </c>
      <c r="BJ93">
        <v>318.84003258418198</v>
      </c>
      <c r="BK93">
        <v>238.18201336804</v>
      </c>
      <c r="BL93">
        <v>3.7411884761690399</v>
      </c>
      <c r="BM93">
        <v>0.104860231208438</v>
      </c>
    </row>
    <row r="94" spans="1:65" x14ac:dyDescent="0.25">
      <c r="A94" t="s">
        <v>231</v>
      </c>
      <c r="B94">
        <v>45.5625</v>
      </c>
      <c r="C94">
        <v>-84.697500000000005</v>
      </c>
      <c r="D94" s="1" t="s">
        <v>218</v>
      </c>
      <c r="E94" t="s">
        <v>219</v>
      </c>
      <c r="F94" t="s">
        <v>49</v>
      </c>
      <c r="G94">
        <v>9.6000000000000002E-2</v>
      </c>
      <c r="H94">
        <v>7.5230766718422997</v>
      </c>
      <c r="I94">
        <v>-8.8094217282373499</v>
      </c>
      <c r="J94">
        <v>15</v>
      </c>
      <c r="K94">
        <v>29.84</v>
      </c>
      <c r="L94">
        <v>19.100000000000001</v>
      </c>
      <c r="M94">
        <v>239</v>
      </c>
      <c r="N94">
        <v>6.1016731750067503</v>
      </c>
      <c r="O94">
        <v>793.83025224203698</v>
      </c>
      <c r="P94" t="s">
        <v>71</v>
      </c>
      <c r="Q94" t="s">
        <v>51</v>
      </c>
      <c r="R94">
        <v>100</v>
      </c>
      <c r="S94">
        <v>29</v>
      </c>
      <c r="T94">
        <v>600</v>
      </c>
      <c r="U94">
        <v>3.5</v>
      </c>
      <c r="V94" s="5">
        <v>92</v>
      </c>
      <c r="W94" s="5">
        <v>1</v>
      </c>
      <c r="X94" s="5">
        <v>7</v>
      </c>
      <c r="Y94" s="5">
        <v>1</v>
      </c>
      <c r="Z94" t="s">
        <v>52</v>
      </c>
      <c r="AA94" t="s">
        <v>53</v>
      </c>
      <c r="AB94">
        <v>30</v>
      </c>
      <c r="AC94">
        <v>18.600000000000001</v>
      </c>
      <c r="AD94">
        <v>206.28</v>
      </c>
      <c r="AE94" s="6">
        <v>0.54600000000000004</v>
      </c>
      <c r="AF94" s="6">
        <v>0.55000000000000004</v>
      </c>
      <c r="AG94" s="6">
        <v>2.7</v>
      </c>
      <c r="AH94" s="6">
        <v>27</v>
      </c>
      <c r="AI94">
        <v>42.672800000000002</v>
      </c>
      <c r="AJ94">
        <v>-84.473600000000005</v>
      </c>
      <c r="AK94" t="s">
        <v>232</v>
      </c>
      <c r="AL94">
        <v>17.356731261141501</v>
      </c>
      <c r="AM94">
        <v>0.64020309813554599</v>
      </c>
      <c r="AN94">
        <v>2305.1500780000001</v>
      </c>
      <c r="AO94">
        <v>329.30715400000003</v>
      </c>
      <c r="AP94">
        <v>230.38392916419301</v>
      </c>
      <c r="AQ94">
        <v>306.29850393342201</v>
      </c>
      <c r="AR94">
        <v>2.5288100730045202</v>
      </c>
      <c r="AS94">
        <v>9.6146796301119303E-2</v>
      </c>
      <c r="AT94">
        <v>19.149307245180001</v>
      </c>
      <c r="AU94">
        <v>0.86841852968066702</v>
      </c>
      <c r="AV94">
        <v>451.69249698757602</v>
      </c>
      <c r="AW94">
        <v>332.03461289401599</v>
      </c>
      <c r="AX94">
        <v>2.6489781639539101</v>
      </c>
      <c r="AY94">
        <v>9.6391032712419195E-2</v>
      </c>
      <c r="AZ94">
        <v>7.61477009881916</v>
      </c>
      <c r="BA94">
        <v>0.38580976306615</v>
      </c>
      <c r="BB94">
        <v>4018.0167379999998</v>
      </c>
      <c r="BC94">
        <v>502.25209224999998</v>
      </c>
      <c r="BD94">
        <v>156.11457124968101</v>
      </c>
      <c r="BE94">
        <v>220.86559973772901</v>
      </c>
      <c r="BF94">
        <v>2.8163971732418198</v>
      </c>
      <c r="BG94">
        <v>0.11222619931737</v>
      </c>
      <c r="BH94">
        <v>8.8999434206822396</v>
      </c>
      <c r="BI94">
        <v>0.51289846316452803</v>
      </c>
      <c r="BJ94">
        <v>316.37775239802602</v>
      </c>
      <c r="BK94">
        <v>234.206550016812</v>
      </c>
      <c r="BL94">
        <v>2.9317153575869801</v>
      </c>
      <c r="BM94">
        <v>0.112196663939558</v>
      </c>
    </row>
    <row r="95" spans="1:65" x14ac:dyDescent="0.25">
      <c r="A95" t="s">
        <v>231</v>
      </c>
      <c r="B95">
        <v>45.5625</v>
      </c>
      <c r="C95">
        <v>-84.697500000000005</v>
      </c>
      <c r="D95" s="1" t="s">
        <v>233</v>
      </c>
      <c r="E95" t="s">
        <v>234</v>
      </c>
      <c r="F95" t="s">
        <v>49</v>
      </c>
      <c r="G95">
        <v>7.1999999999999995E-2</v>
      </c>
      <c r="H95">
        <v>4.7480399254499499</v>
      </c>
      <c r="I95">
        <v>-0.40138560882339402</v>
      </c>
      <c r="J95">
        <v>13</v>
      </c>
      <c r="K95">
        <v>4.1900000000000004</v>
      </c>
      <c r="L95">
        <v>19.100000000000001</v>
      </c>
      <c r="M95">
        <v>239</v>
      </c>
      <c r="N95">
        <v>6.1016731750067503</v>
      </c>
      <c r="O95">
        <v>793.83025224203698</v>
      </c>
      <c r="P95" t="s">
        <v>71</v>
      </c>
      <c r="Q95" t="s">
        <v>51</v>
      </c>
      <c r="R95">
        <v>100</v>
      </c>
      <c r="S95">
        <v>29</v>
      </c>
      <c r="T95">
        <v>600</v>
      </c>
      <c r="U95">
        <v>3.5</v>
      </c>
      <c r="V95" s="5">
        <v>92</v>
      </c>
      <c r="W95" s="5">
        <v>1</v>
      </c>
      <c r="X95" s="5">
        <v>7</v>
      </c>
      <c r="Y95" s="5">
        <v>1</v>
      </c>
      <c r="Z95" t="s">
        <v>52</v>
      </c>
      <c r="AA95" t="s">
        <v>53</v>
      </c>
      <c r="AB95">
        <v>30</v>
      </c>
      <c r="AC95">
        <v>16.5</v>
      </c>
      <c r="AD95">
        <v>132.91999999999999</v>
      </c>
      <c r="AE95" s="6">
        <v>0.62</v>
      </c>
      <c r="AG95" s="6">
        <v>2</v>
      </c>
      <c r="AH95" s="6">
        <v>25</v>
      </c>
      <c r="AI95" t="s">
        <v>235</v>
      </c>
      <c r="AK95" t="s">
        <v>236</v>
      </c>
      <c r="AL95">
        <v>17.356731261141501</v>
      </c>
      <c r="AM95">
        <v>0.64020309813554599</v>
      </c>
      <c r="AN95">
        <v>2305.1500780000001</v>
      </c>
      <c r="AO95">
        <v>329.30715400000003</v>
      </c>
      <c r="AP95">
        <v>230.38392916419301</v>
      </c>
      <c r="AQ95">
        <v>306.29850393342201</v>
      </c>
      <c r="AR95">
        <v>2.5288100730045202</v>
      </c>
      <c r="AS95">
        <v>9.6146796301119303E-2</v>
      </c>
      <c r="AT95">
        <v>19.149307245180001</v>
      </c>
      <c r="AU95">
        <v>0.86841852968066702</v>
      </c>
      <c r="AV95">
        <v>451.69249698757602</v>
      </c>
      <c r="AW95">
        <v>332.03461289401599</v>
      </c>
      <c r="AX95">
        <v>2.6489781639539101</v>
      </c>
      <c r="AY95">
        <v>9.6391032712419195E-2</v>
      </c>
      <c r="AZ95">
        <v>7.61477009881916</v>
      </c>
      <c r="BA95">
        <v>0.38580976306615</v>
      </c>
      <c r="BB95">
        <v>4018.0167379999998</v>
      </c>
      <c r="BC95">
        <v>502.25209224999998</v>
      </c>
      <c r="BD95">
        <v>156.11457124968101</v>
      </c>
      <c r="BE95">
        <v>220.86559973772901</v>
      </c>
      <c r="BF95">
        <v>2.8163971732418198</v>
      </c>
      <c r="BG95">
        <v>0.11222619931737</v>
      </c>
      <c r="BH95">
        <v>8.8999434206822396</v>
      </c>
      <c r="BI95">
        <v>0.51289846316452803</v>
      </c>
      <c r="BJ95">
        <v>316.37775239802602</v>
      </c>
      <c r="BK95">
        <v>234.206550016812</v>
      </c>
      <c r="BL95">
        <v>2.9317153575869801</v>
      </c>
      <c r="BM95">
        <v>0.112196663939558</v>
      </c>
    </row>
    <row r="96" spans="1:65" x14ac:dyDescent="0.25">
      <c r="A96" t="s">
        <v>231</v>
      </c>
      <c r="B96">
        <v>45.5625</v>
      </c>
      <c r="C96">
        <v>-84.697500000000005</v>
      </c>
      <c r="D96" s="1" t="s">
        <v>47</v>
      </c>
      <c r="E96" t="s">
        <v>48</v>
      </c>
      <c r="F96" t="s">
        <v>49</v>
      </c>
      <c r="G96">
        <v>0.112</v>
      </c>
      <c r="H96">
        <v>3.3318108093182999</v>
      </c>
      <c r="I96">
        <v>-6.4426125859330003</v>
      </c>
      <c r="J96">
        <v>15</v>
      </c>
      <c r="K96">
        <v>28.8</v>
      </c>
      <c r="L96">
        <v>19.100000000000001</v>
      </c>
      <c r="M96">
        <v>239</v>
      </c>
      <c r="N96">
        <v>6.1016731750067503</v>
      </c>
      <c r="O96">
        <v>793.83025224203698</v>
      </c>
      <c r="P96" t="s">
        <v>71</v>
      </c>
      <c r="Q96" t="s">
        <v>51</v>
      </c>
      <c r="R96">
        <v>100</v>
      </c>
      <c r="S96">
        <v>29</v>
      </c>
      <c r="T96">
        <v>600</v>
      </c>
      <c r="U96">
        <v>3.5</v>
      </c>
      <c r="V96" s="5">
        <v>92</v>
      </c>
      <c r="W96" s="5">
        <v>1</v>
      </c>
      <c r="X96" s="5">
        <v>7</v>
      </c>
      <c r="Y96" s="5">
        <v>1</v>
      </c>
      <c r="Z96" t="s">
        <v>52</v>
      </c>
      <c r="AA96" t="s">
        <v>53</v>
      </c>
      <c r="AB96">
        <v>30</v>
      </c>
      <c r="AC96">
        <v>16.899999999999999</v>
      </c>
      <c r="AD96">
        <v>141.05000000000001</v>
      </c>
      <c r="AE96" s="6">
        <v>0.34</v>
      </c>
      <c r="AG96" s="6">
        <v>3.3</v>
      </c>
      <c r="AH96" s="6">
        <v>30</v>
      </c>
      <c r="AK96" t="s">
        <v>54</v>
      </c>
      <c r="AL96">
        <v>17.356731261141501</v>
      </c>
      <c r="AM96">
        <v>0.64020309813554599</v>
      </c>
      <c r="AN96">
        <v>2305.1500780000001</v>
      </c>
      <c r="AO96">
        <v>329.30715400000003</v>
      </c>
      <c r="AP96">
        <v>230.38392916419301</v>
      </c>
      <c r="AQ96">
        <v>306.29850393342201</v>
      </c>
      <c r="AR96">
        <v>2.5288100730045202</v>
      </c>
      <c r="AS96">
        <v>9.6146796301119303E-2</v>
      </c>
      <c r="AT96">
        <v>19.149307245180001</v>
      </c>
      <c r="AU96">
        <v>0.86841852968066702</v>
      </c>
      <c r="AV96">
        <v>451.69249698757602</v>
      </c>
      <c r="AW96">
        <v>332.03461289401599</v>
      </c>
      <c r="AX96">
        <v>2.6489781639539101</v>
      </c>
      <c r="AY96">
        <v>9.6391032712419195E-2</v>
      </c>
      <c r="AZ96">
        <v>7.61477009881916</v>
      </c>
      <c r="BA96">
        <v>0.38580976306615</v>
      </c>
      <c r="BB96">
        <v>4018.0167379999998</v>
      </c>
      <c r="BC96">
        <v>502.25209224999998</v>
      </c>
      <c r="BD96">
        <v>156.11457124968101</v>
      </c>
      <c r="BE96">
        <v>220.86559973772901</v>
      </c>
      <c r="BF96">
        <v>2.8163971732418198</v>
      </c>
      <c r="BG96">
        <v>0.11222619931737</v>
      </c>
      <c r="BH96">
        <v>8.8999434206822396</v>
      </c>
      <c r="BI96">
        <v>0.51289846316452803</v>
      </c>
      <c r="BJ96">
        <v>316.37775239802602</v>
      </c>
      <c r="BK96">
        <v>234.206550016812</v>
      </c>
      <c r="BL96">
        <v>2.9317153575869801</v>
      </c>
      <c r="BM96">
        <v>0.112196663939558</v>
      </c>
    </row>
    <row r="97" spans="1:65" x14ac:dyDescent="0.25">
      <c r="A97" t="s">
        <v>231</v>
      </c>
      <c r="B97">
        <v>45.5625</v>
      </c>
      <c r="C97">
        <v>-84.697500000000005</v>
      </c>
      <c r="D97" s="1" t="s">
        <v>237</v>
      </c>
      <c r="E97" t="s">
        <v>238</v>
      </c>
      <c r="F97" t="s">
        <v>49</v>
      </c>
      <c r="G97">
        <v>8.1000000000000003E-2</v>
      </c>
      <c r="H97">
        <v>8.0908137609624298</v>
      </c>
      <c r="I97">
        <v>-9.0419290842092508</v>
      </c>
      <c r="J97">
        <v>14</v>
      </c>
      <c r="K97">
        <v>37.17</v>
      </c>
      <c r="L97">
        <v>19.100000000000001</v>
      </c>
      <c r="M97">
        <v>239</v>
      </c>
      <c r="N97">
        <v>6.1016731750067503</v>
      </c>
      <c r="O97">
        <v>793.83025224203698</v>
      </c>
      <c r="P97" t="s">
        <v>71</v>
      </c>
      <c r="Q97" t="s">
        <v>51</v>
      </c>
      <c r="R97">
        <v>100</v>
      </c>
      <c r="S97">
        <v>29</v>
      </c>
      <c r="T97">
        <v>600</v>
      </c>
      <c r="U97">
        <v>3.5</v>
      </c>
      <c r="V97" s="5">
        <v>92</v>
      </c>
      <c r="W97" s="5">
        <v>1</v>
      </c>
      <c r="X97" s="5">
        <v>7</v>
      </c>
      <c r="Y97" s="5">
        <v>1</v>
      </c>
      <c r="Z97" t="s">
        <v>52</v>
      </c>
      <c r="AA97" t="s">
        <v>53</v>
      </c>
      <c r="AB97">
        <v>30</v>
      </c>
      <c r="AC97">
        <v>25.3</v>
      </c>
      <c r="AD97">
        <v>242.97499999999999</v>
      </c>
      <c r="AE97" s="6">
        <v>0.68500000000000005</v>
      </c>
      <c r="AF97" s="6">
        <v>1.33</v>
      </c>
      <c r="AG97" s="6">
        <v>1.61</v>
      </c>
      <c r="AH97" s="6">
        <v>40</v>
      </c>
      <c r="AI97">
        <v>36.0167</v>
      </c>
      <c r="AJ97">
        <v>-78.9833</v>
      </c>
      <c r="AK97" t="s">
        <v>239</v>
      </c>
      <c r="AL97">
        <v>17.356731261141501</v>
      </c>
      <c r="AM97">
        <v>0.64020309813554599</v>
      </c>
      <c r="AN97">
        <v>2305.1500780000001</v>
      </c>
      <c r="AO97">
        <v>329.30715400000003</v>
      </c>
      <c r="AP97">
        <v>230.38392916419301</v>
      </c>
      <c r="AQ97">
        <v>306.29850393342201</v>
      </c>
      <c r="AR97">
        <v>2.5288100730045202</v>
      </c>
      <c r="AS97">
        <v>9.6146796301119303E-2</v>
      </c>
      <c r="AT97">
        <v>19.149307245180001</v>
      </c>
      <c r="AU97">
        <v>0.86841852968066702</v>
      </c>
      <c r="AV97">
        <v>451.69249698757602</v>
      </c>
      <c r="AW97">
        <v>332.03461289401599</v>
      </c>
      <c r="AX97">
        <v>2.6489781639539101</v>
      </c>
      <c r="AY97">
        <v>9.6391032712419195E-2</v>
      </c>
      <c r="AZ97">
        <v>7.61477009881916</v>
      </c>
      <c r="BA97">
        <v>0.38580976306615</v>
      </c>
      <c r="BB97">
        <v>4018.0167379999998</v>
      </c>
      <c r="BC97">
        <v>502.25209224999998</v>
      </c>
      <c r="BD97">
        <v>156.11457124968101</v>
      </c>
      <c r="BE97">
        <v>220.86559973772901</v>
      </c>
      <c r="BF97">
        <v>2.8163971732418198</v>
      </c>
      <c r="BG97">
        <v>0.11222619931737</v>
      </c>
      <c r="BH97">
        <v>8.8999434206822396</v>
      </c>
      <c r="BI97">
        <v>0.51289846316452803</v>
      </c>
      <c r="BJ97">
        <v>316.37775239802602</v>
      </c>
      <c r="BK97">
        <v>234.206550016812</v>
      </c>
      <c r="BL97">
        <v>2.9317153575869801</v>
      </c>
      <c r="BM97">
        <v>0.112196663939558</v>
      </c>
    </row>
    <row r="98" spans="1:65" x14ac:dyDescent="0.25">
      <c r="A98" t="s">
        <v>304</v>
      </c>
      <c r="B98">
        <v>45.8130555555556</v>
      </c>
      <c r="C98">
        <v>-90.086666666666702</v>
      </c>
      <c r="D98" s="1" t="s">
        <v>241</v>
      </c>
      <c r="E98" t="s">
        <v>242</v>
      </c>
      <c r="F98" t="s">
        <v>49</v>
      </c>
      <c r="G98">
        <v>0.31900000000000001</v>
      </c>
      <c r="H98">
        <v>5.0224956537163603</v>
      </c>
      <c r="I98">
        <v>-8.3175538642419404</v>
      </c>
      <c r="J98">
        <v>2</v>
      </c>
      <c r="K98">
        <v>14</v>
      </c>
      <c r="L98">
        <v>28</v>
      </c>
      <c r="M98">
        <v>520</v>
      </c>
      <c r="N98">
        <v>5</v>
      </c>
      <c r="O98">
        <v>872.01034816482104</v>
      </c>
      <c r="P98" t="s">
        <v>71</v>
      </c>
      <c r="Q98" t="s">
        <v>51</v>
      </c>
      <c r="R98">
        <v>66</v>
      </c>
      <c r="S98">
        <v>24.3</v>
      </c>
      <c r="V98" s="5">
        <v>51.4</v>
      </c>
      <c r="W98" s="5">
        <v>8.3699999999999992</v>
      </c>
      <c r="X98" s="5">
        <v>40.229999999999997</v>
      </c>
      <c r="Y98" s="5">
        <v>2</v>
      </c>
      <c r="AA98" t="s">
        <v>312</v>
      </c>
      <c r="AB98">
        <v>11.67</v>
      </c>
      <c r="AC98">
        <v>29.625</v>
      </c>
      <c r="AD98">
        <v>369.882008414967</v>
      </c>
      <c r="AE98" s="6">
        <v>0.53</v>
      </c>
      <c r="AF98" s="6">
        <v>1.397</v>
      </c>
      <c r="AG98" s="6">
        <v>0.77700000000000002</v>
      </c>
      <c r="AH98" s="6">
        <v>45</v>
      </c>
      <c r="AI98" t="s">
        <v>85</v>
      </c>
      <c r="AJ98" t="s">
        <v>85</v>
      </c>
      <c r="AK98" t="s">
        <v>243</v>
      </c>
      <c r="AL98">
        <v>16.0683320252569</v>
      </c>
      <c r="AM98">
        <v>0.35546975911070899</v>
      </c>
      <c r="AN98">
        <v>754.69949999999994</v>
      </c>
      <c r="AO98">
        <v>377.34974999999997</v>
      </c>
      <c r="AP98">
        <v>214.923746780046</v>
      </c>
      <c r="AQ98">
        <v>275.71354369559299</v>
      </c>
      <c r="AR98">
        <v>2.51749090558212</v>
      </c>
      <c r="AS98">
        <v>0.31654624912648199</v>
      </c>
      <c r="AT98">
        <v>17.7041608011255</v>
      </c>
      <c r="AU98">
        <v>0.51469538457946695</v>
      </c>
      <c r="AV98">
        <v>406.60714421905902</v>
      </c>
      <c r="AW98">
        <v>296.65992101804397</v>
      </c>
      <c r="AX98">
        <v>2.5497547897265198</v>
      </c>
      <c r="AY98">
        <v>0.31635107171939603</v>
      </c>
      <c r="AZ98">
        <v>6.1115800692719198</v>
      </c>
      <c r="BA98">
        <v>0.25005977761409598</v>
      </c>
      <c r="BB98">
        <v>1396.8570999999999</v>
      </c>
      <c r="BC98">
        <v>465.61903333333299</v>
      </c>
      <c r="BD98">
        <v>140.751025181872</v>
      </c>
      <c r="BE98">
        <v>196.304578242811</v>
      </c>
      <c r="BF98">
        <v>2.7633250994665102</v>
      </c>
      <c r="BG98">
        <v>0.31480427394562699</v>
      </c>
      <c r="BH98">
        <v>6.6759476485266998</v>
      </c>
      <c r="BI98">
        <v>0.31281047228182202</v>
      </c>
      <c r="BJ98">
        <v>282.62183053955903</v>
      </c>
      <c r="BK98">
        <v>207.208274100213</v>
      </c>
      <c r="BL98">
        <v>2.77540142919054</v>
      </c>
      <c r="BM98">
        <v>0.31395646399465998</v>
      </c>
    </row>
    <row r="99" spans="1:65" x14ac:dyDescent="0.25">
      <c r="A99" t="s">
        <v>304</v>
      </c>
      <c r="B99">
        <v>45.8130555555556</v>
      </c>
      <c r="C99">
        <v>-90.086666666666702</v>
      </c>
      <c r="D99" s="1" t="s">
        <v>237</v>
      </c>
      <c r="E99" t="s">
        <v>238</v>
      </c>
      <c r="F99" t="s">
        <v>49</v>
      </c>
      <c r="G99">
        <v>0.31900000000000001</v>
      </c>
      <c r="H99">
        <v>0.26505276608788297</v>
      </c>
      <c r="I99">
        <v>-1.07524368058904</v>
      </c>
      <c r="J99">
        <v>2</v>
      </c>
      <c r="K99">
        <v>7</v>
      </c>
      <c r="L99">
        <v>28</v>
      </c>
      <c r="M99">
        <v>520</v>
      </c>
      <c r="N99">
        <v>5</v>
      </c>
      <c r="O99">
        <v>872.01034816482104</v>
      </c>
      <c r="P99" t="s">
        <v>71</v>
      </c>
      <c r="Q99" t="s">
        <v>51</v>
      </c>
      <c r="R99">
        <v>66</v>
      </c>
      <c r="S99">
        <v>24.3</v>
      </c>
      <c r="V99" s="5">
        <v>51.4</v>
      </c>
      <c r="W99" s="5">
        <v>8.3699999999999992</v>
      </c>
      <c r="X99" s="5">
        <v>40.229999999999997</v>
      </c>
      <c r="Y99" s="5">
        <v>2</v>
      </c>
      <c r="AA99" t="s">
        <v>312</v>
      </c>
      <c r="AB99">
        <v>11.67</v>
      </c>
      <c r="AC99">
        <v>47.825000000000003</v>
      </c>
      <c r="AD99">
        <v>188.27549065000301</v>
      </c>
      <c r="AE99" s="6">
        <v>0.68500000000000005</v>
      </c>
      <c r="AF99" s="6">
        <v>1.33</v>
      </c>
      <c r="AG99" s="6">
        <v>1.61</v>
      </c>
      <c r="AH99" s="6">
        <v>40</v>
      </c>
      <c r="AI99">
        <v>36.0167</v>
      </c>
      <c r="AJ99">
        <v>-78.9833</v>
      </c>
      <c r="AK99" t="s">
        <v>239</v>
      </c>
      <c r="AL99">
        <v>16.0683320252569</v>
      </c>
      <c r="AM99">
        <v>0.35546975911070899</v>
      </c>
      <c r="AN99">
        <v>754.69949999999994</v>
      </c>
      <c r="AO99">
        <v>377.34974999999997</v>
      </c>
      <c r="AP99">
        <v>214.923746780046</v>
      </c>
      <c r="AQ99">
        <v>275.71354369559299</v>
      </c>
      <c r="AR99">
        <v>2.51749090558212</v>
      </c>
      <c r="AS99">
        <v>0.31654624912648199</v>
      </c>
      <c r="AT99">
        <v>17.7041608011255</v>
      </c>
      <c r="AU99">
        <v>0.51469538457946695</v>
      </c>
      <c r="AV99">
        <v>406.60714421905902</v>
      </c>
      <c r="AW99">
        <v>296.65992101804397</v>
      </c>
      <c r="AX99">
        <v>2.5497547897265198</v>
      </c>
      <c r="AY99">
        <v>0.31635107171939603</v>
      </c>
      <c r="AZ99">
        <v>6.1115800692719198</v>
      </c>
      <c r="BA99">
        <v>0.25005977761409598</v>
      </c>
      <c r="BB99">
        <v>1396.8570999999999</v>
      </c>
      <c r="BC99">
        <v>465.61903333333299</v>
      </c>
      <c r="BD99">
        <v>140.751025181872</v>
      </c>
      <c r="BE99">
        <v>196.304578242811</v>
      </c>
      <c r="BF99">
        <v>2.7633250994665102</v>
      </c>
      <c r="BG99">
        <v>0.31480427394562699</v>
      </c>
      <c r="BH99">
        <v>6.6759476485266998</v>
      </c>
      <c r="BI99">
        <v>0.31281047228182202</v>
      </c>
      <c r="BJ99">
        <v>282.62183053955903</v>
      </c>
      <c r="BK99">
        <v>207.208274100213</v>
      </c>
      <c r="BL99">
        <v>2.77540142919054</v>
      </c>
      <c r="BM99">
        <v>0.31395646399465998</v>
      </c>
    </row>
    <row r="100" spans="1:65" x14ac:dyDescent="0.25">
      <c r="A100" t="s">
        <v>240</v>
      </c>
      <c r="B100">
        <v>45.8130555555556</v>
      </c>
      <c r="C100">
        <v>-90.086666666666702</v>
      </c>
      <c r="D100" s="1" t="s">
        <v>244</v>
      </c>
      <c r="E100" t="s">
        <v>299</v>
      </c>
      <c r="F100" t="s">
        <v>49</v>
      </c>
      <c r="G100">
        <v>0.316</v>
      </c>
      <c r="H100">
        <v>9.7622971852525708</v>
      </c>
      <c r="I100">
        <v>-34.557259424755998</v>
      </c>
      <c r="J100">
        <v>1</v>
      </c>
      <c r="K100">
        <v>36</v>
      </c>
      <c r="L100">
        <v>28</v>
      </c>
      <c r="M100">
        <v>520</v>
      </c>
      <c r="N100">
        <v>5</v>
      </c>
      <c r="O100">
        <v>872.01034816482104</v>
      </c>
      <c r="P100" t="s">
        <v>71</v>
      </c>
      <c r="Q100" t="s">
        <v>51</v>
      </c>
      <c r="R100">
        <v>66</v>
      </c>
      <c r="S100">
        <v>24.3</v>
      </c>
      <c r="V100" s="5">
        <v>51.4</v>
      </c>
      <c r="W100" s="5">
        <v>8.3699999999999992</v>
      </c>
      <c r="X100" s="5">
        <v>40.229999999999997</v>
      </c>
      <c r="Y100" s="5">
        <v>2</v>
      </c>
      <c r="AA100" t="s">
        <v>312</v>
      </c>
      <c r="AB100">
        <v>11.67</v>
      </c>
      <c r="AC100">
        <v>32.799999999999997</v>
      </c>
      <c r="AD100">
        <v>555.90858996389795</v>
      </c>
      <c r="AL100">
        <v>16.0683320252569</v>
      </c>
      <c r="AM100">
        <v>0.35546975911070899</v>
      </c>
      <c r="AN100">
        <v>754.69949999999994</v>
      </c>
      <c r="AO100">
        <v>377.34974999999997</v>
      </c>
      <c r="AP100">
        <v>214.923746780046</v>
      </c>
      <c r="AQ100">
        <v>275.71354369559299</v>
      </c>
      <c r="AR100">
        <v>2.51749090558212</v>
      </c>
      <c r="AS100">
        <v>0.31654624912648199</v>
      </c>
      <c r="AT100">
        <v>17.7041608011255</v>
      </c>
      <c r="AU100">
        <v>0.51469538457946695</v>
      </c>
      <c r="AV100">
        <v>406.60714421905902</v>
      </c>
      <c r="AW100">
        <v>296.65992101804397</v>
      </c>
      <c r="AX100">
        <v>2.5497547897265198</v>
      </c>
      <c r="AY100">
        <v>0.31635107171939603</v>
      </c>
      <c r="AZ100">
        <v>6.1115800692719198</v>
      </c>
      <c r="BA100">
        <v>0.25005977761409598</v>
      </c>
      <c r="BB100">
        <v>1396.8570999999999</v>
      </c>
      <c r="BC100">
        <v>465.61903333333299</v>
      </c>
      <c r="BD100">
        <v>140.751025181872</v>
      </c>
      <c r="BE100">
        <v>196.304578242811</v>
      </c>
      <c r="BF100">
        <v>2.7633250994665102</v>
      </c>
      <c r="BG100">
        <v>0.31480427394562699</v>
      </c>
      <c r="BH100">
        <v>6.6759476485266998</v>
      </c>
      <c r="BI100">
        <v>0.31281047228182202</v>
      </c>
      <c r="BJ100">
        <v>282.62183053955903</v>
      </c>
      <c r="BK100">
        <v>207.208274100213</v>
      </c>
      <c r="BL100">
        <v>2.77540142919054</v>
      </c>
      <c r="BM100">
        <v>0.31395646399465998</v>
      </c>
    </row>
    <row r="101" spans="1:65" x14ac:dyDescent="0.25">
      <c r="A101" t="s">
        <v>245</v>
      </c>
      <c r="B101">
        <v>39.058866999999999</v>
      </c>
      <c r="C101">
        <v>-79.690668000000002</v>
      </c>
      <c r="D101" s="1" t="s">
        <v>218</v>
      </c>
      <c r="E101" t="s">
        <v>219</v>
      </c>
      <c r="F101" t="s">
        <v>49</v>
      </c>
      <c r="G101">
        <v>0.14199999999999999</v>
      </c>
      <c r="H101">
        <v>16.684657117412499</v>
      </c>
      <c r="I101">
        <v>-4.6189288908903201</v>
      </c>
      <c r="J101">
        <v>2</v>
      </c>
      <c r="K101">
        <v>20</v>
      </c>
      <c r="L101">
        <v>35.700000000000003</v>
      </c>
      <c r="M101">
        <v>844</v>
      </c>
      <c r="N101">
        <v>9.3955484183492608</v>
      </c>
      <c r="O101">
        <v>1408.35604202117</v>
      </c>
      <c r="P101" t="s">
        <v>71</v>
      </c>
      <c r="Q101" t="s">
        <v>51</v>
      </c>
      <c r="R101">
        <v>100</v>
      </c>
      <c r="S101">
        <v>30</v>
      </c>
      <c r="T101">
        <v>2319</v>
      </c>
      <c r="U101">
        <v>6.9</v>
      </c>
      <c r="V101" s="5">
        <v>29.53</v>
      </c>
      <c r="W101" s="5">
        <v>24.73</v>
      </c>
      <c r="X101" s="5">
        <v>45.74</v>
      </c>
      <c r="Y101" s="5">
        <v>2</v>
      </c>
      <c r="Z101" t="s">
        <v>61</v>
      </c>
      <c r="AA101" t="s">
        <v>93</v>
      </c>
      <c r="AB101">
        <v>30</v>
      </c>
      <c r="AC101">
        <v>18.25</v>
      </c>
      <c r="AD101">
        <v>208</v>
      </c>
      <c r="AE101" s="6">
        <v>0.51400000000000001</v>
      </c>
      <c r="AF101" s="6">
        <v>0.55000000000000004</v>
      </c>
      <c r="AG101" s="6">
        <v>1.97</v>
      </c>
      <c r="AH101" s="6">
        <v>27</v>
      </c>
      <c r="AI101">
        <v>40.793199999999999</v>
      </c>
      <c r="AJ101">
        <v>-77.86</v>
      </c>
      <c r="AK101" t="s">
        <v>222</v>
      </c>
      <c r="AL101">
        <v>17.847674490850199</v>
      </c>
      <c r="AM101">
        <v>0.52656136564277101</v>
      </c>
      <c r="AN101">
        <v>880.66</v>
      </c>
      <c r="AO101">
        <v>440.33</v>
      </c>
      <c r="AP101">
        <v>182.84525335530199</v>
      </c>
      <c r="AR101">
        <v>0.40574732341752001</v>
      </c>
      <c r="AS101">
        <v>0.17608431425750501</v>
      </c>
      <c r="AT101">
        <v>19.723963363746901</v>
      </c>
      <c r="AU101">
        <v>0.71853245113992703</v>
      </c>
      <c r="AV101">
        <v>338.628994754237</v>
      </c>
      <c r="AX101">
        <v>0.40924286101694901</v>
      </c>
      <c r="AY101">
        <v>0.175863301341807</v>
      </c>
      <c r="AZ101">
        <v>11.247385289201199</v>
      </c>
      <c r="BA101">
        <v>0.45859371766983298</v>
      </c>
      <c r="BB101">
        <v>1392.56</v>
      </c>
      <c r="BC101">
        <v>696.28</v>
      </c>
      <c r="BD101">
        <v>138.767306089816</v>
      </c>
      <c r="BF101">
        <v>0.60120981253540595</v>
      </c>
      <c r="BG101">
        <v>0.19389338044556301</v>
      </c>
      <c r="BH101">
        <v>12.765802418627899</v>
      </c>
      <c r="BI101">
        <v>0.60268413963922496</v>
      </c>
      <c r="BJ101">
        <v>256.284914830199</v>
      </c>
      <c r="BL101">
        <v>0.61788560379000002</v>
      </c>
      <c r="BM101">
        <v>0.19398463468514501</v>
      </c>
    </row>
    <row r="102" spans="1:65" x14ac:dyDescent="0.25">
      <c r="A102" t="s">
        <v>245</v>
      </c>
      <c r="B102">
        <v>39.058866999999999</v>
      </c>
      <c r="C102">
        <v>-79.690668000000002</v>
      </c>
      <c r="D102" s="1" t="s">
        <v>209</v>
      </c>
      <c r="E102" t="s">
        <v>210</v>
      </c>
      <c r="F102" t="s">
        <v>118</v>
      </c>
      <c r="G102">
        <v>0.14899999999999999</v>
      </c>
      <c r="H102">
        <v>115.09266549368699</v>
      </c>
      <c r="I102">
        <v>-19.464548812512</v>
      </c>
      <c r="J102">
        <v>1</v>
      </c>
      <c r="L102">
        <v>35.700000000000003</v>
      </c>
      <c r="M102">
        <v>844</v>
      </c>
      <c r="N102">
        <v>9.3955484183492608</v>
      </c>
      <c r="O102">
        <v>1408.35604202117</v>
      </c>
      <c r="P102" t="s">
        <v>71</v>
      </c>
      <c r="Q102" t="s">
        <v>51</v>
      </c>
      <c r="R102">
        <v>100</v>
      </c>
      <c r="S102">
        <v>30</v>
      </c>
      <c r="T102">
        <v>2319</v>
      </c>
      <c r="U102">
        <v>6.9</v>
      </c>
      <c r="V102" s="5">
        <v>29.53</v>
      </c>
      <c r="W102" s="5">
        <v>24.73</v>
      </c>
      <c r="X102" s="5">
        <v>45.74</v>
      </c>
      <c r="Y102" s="5">
        <v>2</v>
      </c>
      <c r="Z102" t="s">
        <v>61</v>
      </c>
      <c r="AA102" t="s">
        <v>93</v>
      </c>
      <c r="AB102">
        <v>30</v>
      </c>
      <c r="AC102">
        <v>18.899999999999999</v>
      </c>
      <c r="AD102">
        <v>249</v>
      </c>
      <c r="AE102" s="6">
        <v>0.56000000000000005</v>
      </c>
      <c r="AF102" s="6">
        <v>4.6950000000000003</v>
      </c>
      <c r="AG102" s="6">
        <v>2.8730000000000002</v>
      </c>
      <c r="AH102" s="6">
        <v>35</v>
      </c>
      <c r="AK102" t="s">
        <v>211</v>
      </c>
      <c r="AL102">
        <v>17.847674490850199</v>
      </c>
      <c r="AM102">
        <v>0.52656136564277101</v>
      </c>
      <c r="AN102">
        <v>880.66</v>
      </c>
      <c r="AO102">
        <v>440.33</v>
      </c>
      <c r="AP102">
        <v>182.84525335530199</v>
      </c>
      <c r="AR102">
        <v>0.40574732341752001</v>
      </c>
      <c r="AS102">
        <v>0.17608431425750501</v>
      </c>
      <c r="AT102">
        <v>19.723963363746901</v>
      </c>
      <c r="AU102">
        <v>0.71853245113992703</v>
      </c>
      <c r="AV102">
        <v>338.628994754237</v>
      </c>
      <c r="AX102">
        <v>0.40924286101694901</v>
      </c>
      <c r="AY102">
        <v>0.175863301341807</v>
      </c>
      <c r="AZ102">
        <v>11.247385289201199</v>
      </c>
      <c r="BA102">
        <v>0.45859371766983298</v>
      </c>
      <c r="BB102">
        <v>1392.56</v>
      </c>
      <c r="BC102">
        <v>696.28</v>
      </c>
      <c r="BD102">
        <v>138.767306089816</v>
      </c>
      <c r="BF102">
        <v>0.60120981253540595</v>
      </c>
      <c r="BG102">
        <v>0.19389338044556301</v>
      </c>
      <c r="BH102">
        <v>12.765802418627899</v>
      </c>
      <c r="BI102">
        <v>0.60268413963922496</v>
      </c>
      <c r="BJ102">
        <v>256.284914830199</v>
      </c>
      <c r="BL102">
        <v>0.61788560379000002</v>
      </c>
      <c r="BM102">
        <v>0.19398463468514501</v>
      </c>
    </row>
    <row r="103" spans="1:65" x14ac:dyDescent="0.25">
      <c r="A103" t="s">
        <v>245</v>
      </c>
      <c r="B103">
        <v>39.058866999999999</v>
      </c>
      <c r="C103">
        <v>-79.690668000000002</v>
      </c>
      <c r="D103" s="1" t="s">
        <v>224</v>
      </c>
      <c r="E103" t="s">
        <v>225</v>
      </c>
      <c r="F103" t="s">
        <v>49</v>
      </c>
      <c r="G103">
        <v>0.14699999999999999</v>
      </c>
      <c r="H103">
        <v>2.8306393068607001</v>
      </c>
      <c r="I103">
        <v>-1.0903155426675799</v>
      </c>
      <c r="J103">
        <v>1</v>
      </c>
      <c r="K103">
        <v>4</v>
      </c>
      <c r="L103">
        <v>35.700000000000003</v>
      </c>
      <c r="M103">
        <v>844</v>
      </c>
      <c r="N103">
        <v>9.3955484183492608</v>
      </c>
      <c r="O103">
        <v>1408.35604202117</v>
      </c>
      <c r="P103" t="s">
        <v>71</v>
      </c>
      <c r="Q103" t="s">
        <v>51</v>
      </c>
      <c r="R103">
        <v>100</v>
      </c>
      <c r="S103">
        <v>30</v>
      </c>
      <c r="T103">
        <v>2319</v>
      </c>
      <c r="U103">
        <v>6.9</v>
      </c>
      <c r="V103" s="5">
        <v>29.53</v>
      </c>
      <c r="W103" s="5">
        <v>24.73</v>
      </c>
      <c r="X103" s="5">
        <v>45.74</v>
      </c>
      <c r="Y103" s="5">
        <v>2</v>
      </c>
      <c r="Z103" t="s">
        <v>61</v>
      </c>
      <c r="AA103" t="s">
        <v>93</v>
      </c>
      <c r="AB103">
        <v>30</v>
      </c>
      <c r="AC103">
        <v>38.9</v>
      </c>
      <c r="AD103">
        <v>431</v>
      </c>
      <c r="AE103" s="6">
        <v>0.47</v>
      </c>
      <c r="AF103" s="6">
        <v>0.55000000000000004</v>
      </c>
      <c r="AG103" s="6">
        <v>4.2699999999999996</v>
      </c>
      <c r="AH103" s="6">
        <v>22</v>
      </c>
      <c r="AI103">
        <v>35.765000000000001</v>
      </c>
      <c r="AJ103">
        <v>-78.681700000000006</v>
      </c>
      <c r="AK103" t="s">
        <v>226</v>
      </c>
      <c r="AL103">
        <v>17.847674490850199</v>
      </c>
      <c r="AM103">
        <v>0.52656136564277101</v>
      </c>
      <c r="AN103">
        <v>880.66</v>
      </c>
      <c r="AO103">
        <v>440.33</v>
      </c>
      <c r="AP103">
        <v>182.84525335530199</v>
      </c>
      <c r="AR103">
        <v>0.40574732341752001</v>
      </c>
      <c r="AS103">
        <v>0.17608431425750501</v>
      </c>
      <c r="AT103">
        <v>19.723963363746901</v>
      </c>
      <c r="AU103">
        <v>0.71853245113992703</v>
      </c>
      <c r="AV103">
        <v>338.628994754237</v>
      </c>
      <c r="AX103">
        <v>0.40924286101694901</v>
      </c>
      <c r="AY103">
        <v>0.175863301341807</v>
      </c>
      <c r="AZ103">
        <v>11.247385289201199</v>
      </c>
      <c r="BA103">
        <v>0.45859371766983298</v>
      </c>
      <c r="BB103">
        <v>1392.56</v>
      </c>
      <c r="BC103">
        <v>696.28</v>
      </c>
      <c r="BD103">
        <v>138.767306089816</v>
      </c>
      <c r="BF103">
        <v>0.60120981253540595</v>
      </c>
      <c r="BG103">
        <v>0.19389338044556301</v>
      </c>
      <c r="BH103">
        <v>12.765802418627899</v>
      </c>
      <c r="BI103">
        <v>0.60268413963922496</v>
      </c>
      <c r="BJ103">
        <v>256.284914830199</v>
      </c>
      <c r="BL103">
        <v>0.61788560379000002</v>
      </c>
      <c r="BM103">
        <v>0.19398463468514501</v>
      </c>
    </row>
    <row r="104" spans="1:65" x14ac:dyDescent="0.25">
      <c r="A104" t="s">
        <v>245</v>
      </c>
      <c r="B104">
        <v>39.058866999999999</v>
      </c>
      <c r="C104">
        <v>-79.690668000000002</v>
      </c>
      <c r="D104" s="1" t="s">
        <v>163</v>
      </c>
      <c r="E104" t="s">
        <v>164</v>
      </c>
      <c r="F104" t="s">
        <v>49</v>
      </c>
      <c r="G104">
        <v>0.14599999999999999</v>
      </c>
      <c r="H104">
        <v>1.0139429954097501</v>
      </c>
      <c r="I104">
        <v>-0.66121428239548896</v>
      </c>
      <c r="J104">
        <v>2</v>
      </c>
      <c r="K104">
        <v>19</v>
      </c>
      <c r="L104">
        <v>35.700000000000003</v>
      </c>
      <c r="M104">
        <v>844</v>
      </c>
      <c r="N104">
        <v>9.3955484183492608</v>
      </c>
      <c r="O104">
        <v>1408.35604202117</v>
      </c>
      <c r="P104" t="s">
        <v>71</v>
      </c>
      <c r="Q104" t="s">
        <v>51</v>
      </c>
      <c r="R104">
        <v>100</v>
      </c>
      <c r="S104">
        <v>30</v>
      </c>
      <c r="T104">
        <v>2319</v>
      </c>
      <c r="U104">
        <v>6.9</v>
      </c>
      <c r="V104" s="5">
        <v>29.53</v>
      </c>
      <c r="W104" s="5">
        <v>24.73</v>
      </c>
      <c r="X104" s="5">
        <v>45.74</v>
      </c>
      <c r="Y104" s="5">
        <v>2</v>
      </c>
      <c r="Z104" t="s">
        <v>61</v>
      </c>
      <c r="AA104" t="s">
        <v>93</v>
      </c>
      <c r="AB104">
        <v>30</v>
      </c>
      <c r="AC104">
        <v>58.1</v>
      </c>
      <c r="AD104">
        <v>472.5</v>
      </c>
      <c r="AE104" s="6">
        <v>0.63439999999999996</v>
      </c>
      <c r="AF104" s="6">
        <v>1.37</v>
      </c>
      <c r="AG104" s="6">
        <v>1.37</v>
      </c>
      <c r="AH104" s="6">
        <v>30</v>
      </c>
      <c r="AI104">
        <v>36.0167</v>
      </c>
      <c r="AJ104">
        <v>-78.9833</v>
      </c>
      <c r="AK104" t="s">
        <v>167</v>
      </c>
      <c r="AL104">
        <v>17.847674490850199</v>
      </c>
      <c r="AM104">
        <v>0.52656136564277101</v>
      </c>
      <c r="AN104">
        <v>880.66</v>
      </c>
      <c r="AO104">
        <v>440.33</v>
      </c>
      <c r="AP104">
        <v>182.84525335530199</v>
      </c>
      <c r="AR104">
        <v>0.40574732341752001</v>
      </c>
      <c r="AS104">
        <v>0.17608431425750501</v>
      </c>
      <c r="AT104">
        <v>19.723963363746901</v>
      </c>
      <c r="AU104">
        <v>0.71853245113992703</v>
      </c>
      <c r="AV104">
        <v>338.628994754237</v>
      </c>
      <c r="AX104">
        <v>0.40924286101694901</v>
      </c>
      <c r="AY104">
        <v>0.175863301341807</v>
      </c>
      <c r="AZ104">
        <v>11.247385289201199</v>
      </c>
      <c r="BA104">
        <v>0.45859371766983298</v>
      </c>
      <c r="BB104">
        <v>1392.56</v>
      </c>
      <c r="BC104">
        <v>696.28</v>
      </c>
      <c r="BD104">
        <v>138.767306089816</v>
      </c>
      <c r="BF104">
        <v>0.60120981253540595</v>
      </c>
      <c r="BG104">
        <v>0.19389338044556301</v>
      </c>
      <c r="BH104">
        <v>12.765802418627899</v>
      </c>
      <c r="BI104">
        <v>0.60268413963922496</v>
      </c>
      <c r="BJ104">
        <v>256.284914830199</v>
      </c>
      <c r="BL104">
        <v>0.61788560379000002</v>
      </c>
      <c r="BM104">
        <v>0.19398463468514501</v>
      </c>
    </row>
    <row r="105" spans="1:65" x14ac:dyDescent="0.25">
      <c r="A105" t="s">
        <v>305</v>
      </c>
      <c r="B105">
        <v>-34.087000000000003</v>
      </c>
      <c r="C105">
        <v>19.093299999999999</v>
      </c>
      <c r="D105" s="1" t="s">
        <v>246</v>
      </c>
      <c r="E105" t="s">
        <v>300</v>
      </c>
      <c r="F105" t="s">
        <v>118</v>
      </c>
      <c r="G105">
        <v>0.17699999999999999</v>
      </c>
      <c r="H105">
        <v>3.1511829745612601</v>
      </c>
      <c r="I105">
        <v>-8.50894708433799</v>
      </c>
      <c r="J105">
        <v>2</v>
      </c>
      <c r="K105">
        <v>100</v>
      </c>
      <c r="M105">
        <v>389</v>
      </c>
      <c r="N105">
        <v>15.283351431122201</v>
      </c>
      <c r="O105">
        <v>929.33201916926998</v>
      </c>
      <c r="P105" t="s">
        <v>71</v>
      </c>
      <c r="Q105" t="s">
        <v>60</v>
      </c>
      <c r="R105">
        <v>30</v>
      </c>
      <c r="S105">
        <v>4</v>
      </c>
      <c r="T105">
        <v>1250</v>
      </c>
      <c r="U105">
        <v>3</v>
      </c>
      <c r="V105" s="5">
        <v>69.03</v>
      </c>
      <c r="W105" s="5">
        <v>18.03</v>
      </c>
      <c r="X105" s="5">
        <v>12.94</v>
      </c>
      <c r="Y105" s="5">
        <v>2</v>
      </c>
      <c r="Z105" t="s">
        <v>61</v>
      </c>
      <c r="AA105" t="s">
        <v>93</v>
      </c>
      <c r="AB105">
        <v>30</v>
      </c>
      <c r="AC105">
        <v>45.55</v>
      </c>
      <c r="AD105">
        <v>114.7</v>
      </c>
      <c r="AL105">
        <v>20.423789473684199</v>
      </c>
      <c r="AM105">
        <v>1.08534100877192</v>
      </c>
      <c r="AN105">
        <v>132.58799999999999</v>
      </c>
      <c r="AO105">
        <v>66.293999999999997</v>
      </c>
      <c r="AP105">
        <v>238.41981387061401</v>
      </c>
      <c r="AR105">
        <v>2.0923769188596402</v>
      </c>
      <c r="AS105">
        <v>0.163959703947368</v>
      </c>
      <c r="AT105">
        <v>23.191688596491201</v>
      </c>
      <c r="AU105">
        <v>1.5510838815789401</v>
      </c>
      <c r="AV105">
        <v>467.00091831140298</v>
      </c>
      <c r="AX105">
        <v>2.44893859649122</v>
      </c>
      <c r="AY105">
        <v>0.165303179824561</v>
      </c>
      <c r="AZ105">
        <v>18.2588525691699</v>
      </c>
      <c r="BA105">
        <v>0.93417484015210295</v>
      </c>
      <c r="BB105">
        <v>247.142</v>
      </c>
      <c r="BC105">
        <v>123.571</v>
      </c>
      <c r="BD105">
        <v>196.21355132897801</v>
      </c>
      <c r="BF105">
        <v>2.0225288405797102</v>
      </c>
      <c r="BG105">
        <v>0.15836591567852401</v>
      </c>
      <c r="BH105">
        <v>20.991403422915202</v>
      </c>
      <c r="BI105">
        <v>1.3391546736231399</v>
      </c>
      <c r="BJ105">
        <v>390.42059245189103</v>
      </c>
      <c r="BL105">
        <v>2.3832050707808001</v>
      </c>
      <c r="BM105">
        <v>0.15874140123866301</v>
      </c>
    </row>
  </sheetData>
  <sortState ref="A2:BM105">
    <sortCondition ref="A2:A105"/>
    <sortCondition ref="D2:D105"/>
  </sortState>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6DC4-3B82-4DD9-92ED-D48F8A08B64C}">
  <dimension ref="A1:B29"/>
  <sheetViews>
    <sheetView tabSelected="1" workbookViewId="0">
      <selection activeCell="B29" sqref="B29"/>
    </sheetView>
  </sheetViews>
  <sheetFormatPr defaultRowHeight="13.8" x14ac:dyDescent="0.25"/>
  <cols>
    <col min="1" max="1" width="19.88671875" bestFit="1" customWidth="1"/>
    <col min="2" max="2" width="64.109375" bestFit="1" customWidth="1"/>
  </cols>
  <sheetData>
    <row r="1" spans="1:2" x14ac:dyDescent="0.25">
      <c r="A1" s="7" t="s">
        <v>313</v>
      </c>
      <c r="B1" s="7" t="s">
        <v>314</v>
      </c>
    </row>
    <row r="2" spans="1:2" x14ac:dyDescent="0.25">
      <c r="A2" t="s">
        <v>315</v>
      </c>
      <c r="B2" t="s">
        <v>316</v>
      </c>
    </row>
    <row r="3" spans="1:2" x14ac:dyDescent="0.25">
      <c r="A3" t="s">
        <v>317</v>
      </c>
      <c r="B3" t="s">
        <v>318</v>
      </c>
    </row>
    <row r="4" spans="1:2" x14ac:dyDescent="0.25">
      <c r="A4" t="s">
        <v>319</v>
      </c>
      <c r="B4" t="s">
        <v>320</v>
      </c>
    </row>
    <row r="5" spans="1:2" x14ac:dyDescent="0.25">
      <c r="A5" t="s">
        <v>9</v>
      </c>
      <c r="B5" t="s">
        <v>342</v>
      </c>
    </row>
    <row r="6" spans="1:2" x14ac:dyDescent="0.25">
      <c r="A6" t="s">
        <v>10</v>
      </c>
      <c r="B6" t="s">
        <v>340</v>
      </c>
    </row>
    <row r="7" spans="1:2" x14ac:dyDescent="0.25">
      <c r="A7" t="s">
        <v>11</v>
      </c>
      <c r="B7" t="s">
        <v>338</v>
      </c>
    </row>
    <row r="8" spans="1:2" x14ac:dyDescent="0.25">
      <c r="A8" t="s">
        <v>336</v>
      </c>
      <c r="B8" t="s">
        <v>339</v>
      </c>
    </row>
    <row r="9" spans="1:2" x14ac:dyDescent="0.25">
      <c r="A9" t="s">
        <v>337</v>
      </c>
      <c r="B9" t="s">
        <v>343</v>
      </c>
    </row>
    <row r="10" spans="1:2" x14ac:dyDescent="0.25">
      <c r="A10" t="s">
        <v>344</v>
      </c>
      <c r="B10" t="s">
        <v>345</v>
      </c>
    </row>
    <row r="11" spans="1:2" x14ac:dyDescent="0.25">
      <c r="A11" t="s">
        <v>26</v>
      </c>
      <c r="B11" t="s">
        <v>347</v>
      </c>
    </row>
    <row r="12" spans="1:2" x14ac:dyDescent="0.25">
      <c r="A12" t="s">
        <v>348</v>
      </c>
      <c r="B12" t="s">
        <v>352</v>
      </c>
    </row>
    <row r="13" spans="1:2" x14ac:dyDescent="0.25">
      <c r="A13" t="s">
        <v>349</v>
      </c>
      <c r="B13" t="s">
        <v>353</v>
      </c>
    </row>
    <row r="14" spans="1:2" x14ac:dyDescent="0.25">
      <c r="A14" t="s">
        <v>350</v>
      </c>
      <c r="B14" t="s">
        <v>354</v>
      </c>
    </row>
    <row r="15" spans="1:2" x14ac:dyDescent="0.25">
      <c r="A15" t="s">
        <v>351</v>
      </c>
      <c r="B15" t="s">
        <v>355</v>
      </c>
    </row>
    <row r="16" spans="1:2" x14ac:dyDescent="0.25">
      <c r="A16" t="s">
        <v>356</v>
      </c>
      <c r="B16" t="s">
        <v>357</v>
      </c>
    </row>
    <row r="17" spans="1:2" x14ac:dyDescent="0.25">
      <c r="A17" t="s">
        <v>358</v>
      </c>
      <c r="B17" t="s">
        <v>359</v>
      </c>
    </row>
    <row r="18" spans="1:2" x14ac:dyDescent="0.25">
      <c r="A18" t="s">
        <v>360</v>
      </c>
      <c r="B18" t="s">
        <v>363</v>
      </c>
    </row>
    <row r="19" spans="1:2" x14ac:dyDescent="0.25">
      <c r="A19" t="s">
        <v>362</v>
      </c>
      <c r="B19" t="s">
        <v>364</v>
      </c>
    </row>
    <row r="20" spans="1:2" x14ac:dyDescent="0.25">
      <c r="A20" t="s">
        <v>365</v>
      </c>
      <c r="B20" t="s">
        <v>369</v>
      </c>
    </row>
    <row r="21" spans="1:2" x14ac:dyDescent="0.25">
      <c r="A21" t="s">
        <v>35</v>
      </c>
      <c r="B21" t="s">
        <v>367</v>
      </c>
    </row>
    <row r="22" spans="1:2" x14ac:dyDescent="0.25">
      <c r="A22" t="s">
        <v>36</v>
      </c>
      <c r="B22" t="s">
        <v>370</v>
      </c>
    </row>
    <row r="23" spans="1:2" x14ac:dyDescent="0.25">
      <c r="A23" t="s">
        <v>37</v>
      </c>
      <c r="B23" t="s">
        <v>376</v>
      </c>
    </row>
    <row r="24" spans="1:2" x14ac:dyDescent="0.25">
      <c r="A24" t="s">
        <v>323</v>
      </c>
      <c r="B24" t="s">
        <v>372</v>
      </c>
    </row>
    <row r="25" spans="1:2" x14ac:dyDescent="0.25">
      <c r="A25" t="s">
        <v>361</v>
      </c>
    </row>
    <row r="26" spans="1:2" x14ac:dyDescent="0.25">
      <c r="A26" t="s">
        <v>38</v>
      </c>
      <c r="B26" t="s">
        <v>374</v>
      </c>
    </row>
    <row r="27" spans="1:2" x14ac:dyDescent="0.25">
      <c r="A27" t="s">
        <v>377</v>
      </c>
    </row>
    <row r="28" spans="1:2" x14ac:dyDescent="0.25">
      <c r="A28" t="s">
        <v>329</v>
      </c>
      <c r="B28" t="s">
        <v>375</v>
      </c>
    </row>
    <row r="29" spans="1:2" x14ac:dyDescent="0.25">
      <c r="A29" t="s">
        <v>377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Song Ying</cp:lastModifiedBy>
  <dcterms:created xsi:type="dcterms:W3CDTF">2024-12-30T07:27:31Z</dcterms:created>
  <dcterms:modified xsi:type="dcterms:W3CDTF">2025-02-03T07:38:44Z</dcterms:modified>
</cp:coreProperties>
</file>